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B6635357CFAE5AA/Documents/"/>
    </mc:Choice>
  </mc:AlternateContent>
  <xr:revisionPtr revIDLastSave="4" documentId="8_{67F71D6E-8D92-4666-B8D4-422739AC609F}" xr6:coauthVersionLast="47" xr6:coauthVersionMax="47" xr10:uidLastSave="{F14E416C-AE95-4FCE-A55C-7EAE44C330FF}"/>
  <bookViews>
    <workbookView xWindow="-108" yWindow="-108" windowWidth="23256" windowHeight="12456" activeTab="2"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4" l="1"/>
  <c r="N4" i="4"/>
  <c r="O1" i="4"/>
  <c r="H3" i="4"/>
  <c r="H4" i="4"/>
  <c r="H5" i="4"/>
  <c r="H6" i="4"/>
  <c r="H7" i="4"/>
  <c r="H8" i="4"/>
  <c r="H9" i="4"/>
  <c r="H10" i="4"/>
  <c r="H11" i="4"/>
  <c r="H12" i="4"/>
  <c r="H13" i="4"/>
  <c r="H14" i="4"/>
  <c r="H15" i="4"/>
  <c r="H16" i="4"/>
  <c r="H17" i="4"/>
  <c r="H18" i="4"/>
  <c r="H19" i="4"/>
  <c r="H20" i="4"/>
  <c r="H21" i="4"/>
  <c r="H2" i="4"/>
  <c r="G3" i="4"/>
  <c r="G4" i="4"/>
  <c r="G5" i="4"/>
  <c r="G6" i="4"/>
  <c r="G7" i="4"/>
  <c r="G8" i="4"/>
  <c r="G9" i="4"/>
  <c r="G10" i="4"/>
  <c r="G11" i="4"/>
  <c r="G12" i="4"/>
  <c r="G13" i="4"/>
  <c r="G14" i="4"/>
  <c r="G15" i="4"/>
  <c r="G16" i="4"/>
  <c r="G17" i="4"/>
  <c r="G18" i="4"/>
  <c r="G19" i="4"/>
  <c r="G20" i="4"/>
  <c r="G21" i="4"/>
  <c r="G2" i="4"/>
  <c r="N24" i="3"/>
  <c r="U9" i="3"/>
  <c r="T9" i="3"/>
  <c r="S9" i="3"/>
  <c r="S5" i="3"/>
  <c r="O19" i="3" a="1"/>
  <c r="O19" i="3" s="1"/>
  <c r="N14" i="3"/>
  <c r="P8" i="3"/>
  <c r="P5" i="3"/>
  <c r="O1" i="3"/>
  <c r="K3" i="3"/>
  <c r="K4" i="3"/>
  <c r="K5" i="3"/>
  <c r="K6" i="3"/>
  <c r="K7" i="3"/>
  <c r="K8" i="3"/>
  <c r="K9" i="3"/>
  <c r="K10" i="3"/>
  <c r="K11" i="3"/>
  <c r="K12" i="3"/>
  <c r="K13" i="3"/>
  <c r="K14" i="3"/>
  <c r="K15" i="3"/>
  <c r="K16" i="3"/>
  <c r="K17" i="3"/>
  <c r="K18" i="3"/>
  <c r="K19" i="3"/>
  <c r="K20" i="3"/>
  <c r="K21" i="3"/>
  <c r="K2" i="3"/>
  <c r="J2" i="3" a="1"/>
  <c r="J2" i="3" s="1"/>
  <c r="P20" i="2" a="1"/>
  <c r="P20" i="2" s="1"/>
  <c r="P18" i="2"/>
  <c r="P17" i="2"/>
  <c r="R11" i="2"/>
  <c r="M9" i="2"/>
  <c r="Q14" i="2" s="1"/>
  <c r="P3" i="2"/>
  <c r="P1" i="2"/>
  <c r="I10" i="2"/>
  <c r="I11" i="2"/>
  <c r="I12" i="2"/>
  <c r="I13" i="2"/>
  <c r="I14" i="2"/>
  <c r="I2" i="2"/>
  <c r="H3" i="2"/>
  <c r="I3" i="2" s="1"/>
  <c r="H4" i="2"/>
  <c r="I4" i="2" s="1"/>
  <c r="H5" i="2"/>
  <c r="I5" i="2" s="1"/>
  <c r="H6" i="2"/>
  <c r="I6" i="2" s="1"/>
  <c r="H7" i="2"/>
  <c r="I7" i="2" s="1"/>
  <c r="H8" i="2"/>
  <c r="I8" i="2" s="1"/>
  <c r="H9" i="2"/>
  <c r="I9" i="2" s="1"/>
  <c r="H10" i="2"/>
  <c r="H11" i="2"/>
  <c r="H12" i="2"/>
  <c r="H13" i="2"/>
  <c r="H14" i="2"/>
  <c r="H15" i="2"/>
  <c r="I15" i="2" s="1"/>
  <c r="H16" i="2"/>
  <c r="I16" i="2" s="1"/>
  <c r="H17" i="2"/>
  <c r="I17" i="2" s="1"/>
  <c r="H18" i="2"/>
  <c r="I18" i="2" s="1"/>
  <c r="H19" i="2"/>
  <c r="I19" i="2" s="1"/>
  <c r="H20" i="2"/>
  <c r="I20" i="2" s="1"/>
  <c r="H21" i="2"/>
  <c r="I21" i="2" s="1"/>
  <c r="H2" i="2"/>
  <c r="O13" i="4" a="1"/>
  <c r="N15" i="4" a="1"/>
  <c r="L15" i="4" a="1"/>
  <c r="O13" i="4" l="1"/>
  <c r="N15" i="4"/>
  <c r="L15" i="4"/>
  <c r="I3" i="3" l="1"/>
  <c r="I4" i="3"/>
  <c r="I5" i="3"/>
  <c r="I6" i="3"/>
  <c r="I7" i="3"/>
  <c r="I8" i="3"/>
  <c r="I9" i="3"/>
  <c r="I10" i="3"/>
  <c r="I11" i="3"/>
  <c r="I12" i="3"/>
  <c r="I13" i="3"/>
  <c r="I14" i="3"/>
  <c r="I15" i="3"/>
  <c r="I16" i="3"/>
  <c r="I17" i="3"/>
  <c r="I18" i="3"/>
  <c r="I19" i="3"/>
  <c r="I20" i="3"/>
  <c r="I21" i="3"/>
  <c r="I2" i="3"/>
  <c r="J3" i="2"/>
  <c r="J4" i="2"/>
  <c r="J5" i="2"/>
  <c r="J6" i="2"/>
  <c r="J7" i="2"/>
  <c r="J8" i="2"/>
  <c r="J9" i="2"/>
  <c r="J10" i="2"/>
  <c r="J11" i="2"/>
  <c r="J12" i="2"/>
  <c r="J13" i="2"/>
  <c r="J14" i="2"/>
  <c r="J15" i="2"/>
  <c r="J16" i="2"/>
  <c r="J17" i="2"/>
  <c r="J18" i="2"/>
  <c r="J19" i="2"/>
  <c r="J20" i="2"/>
  <c r="J21" i="2"/>
  <c r="J2" i="2"/>
  <c r="H3" i="3"/>
  <c r="H4" i="3"/>
  <c r="H5" i="3"/>
  <c r="H6" i="3"/>
  <c r="H7" i="3"/>
  <c r="H8" i="3"/>
  <c r="H9" i="3"/>
  <c r="H10" i="3"/>
  <c r="H11" i="3"/>
  <c r="H12" i="3"/>
  <c r="H13" i="3"/>
  <c r="H14" i="3"/>
  <c r="H15" i="3"/>
  <c r="H16" i="3"/>
  <c r="H17" i="3"/>
  <c r="H18" i="3"/>
  <c r="H19" i="3"/>
  <c r="H20" i="3"/>
  <c r="H21" i="3"/>
  <c r="H2" i="3"/>
  <c r="G3" i="2"/>
  <c r="G4" i="2"/>
  <c r="G5" i="2"/>
  <c r="G6" i="2"/>
  <c r="G7" i="2"/>
  <c r="G8" i="2"/>
  <c r="G9" i="2"/>
  <c r="G10" i="2"/>
  <c r="G11" i="2"/>
  <c r="G12" i="2"/>
  <c r="G13" i="2"/>
  <c r="G14" i="2"/>
  <c r="G15" i="2"/>
  <c r="G16" i="2"/>
  <c r="G17" i="2"/>
  <c r="G18" i="2"/>
  <c r="G19" i="2"/>
  <c r="G20" i="2"/>
  <c r="G21" i="2"/>
  <c r="G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<sst xmlns="http://schemas.openxmlformats.org/spreadsheetml/2006/main" count="236" uniqueCount="175">
  <si>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</si>
  <si>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</si>
  <si>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</si>
  <si>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</si>
  <si>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</si>
  <si>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</si>
  <si>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</si>
  <si>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</si>
  <si>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</si>
  <si>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</si>
  <si>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</si>
  <si>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</si>
  <si>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</si>
  <si>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</si>
  <si>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</si>
  <si>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</si>
  <si>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</si>
  <si>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</si>
  <si>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</si>
  <si>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</si>
  <si>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</si>
  <si>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</si>
  <si>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</si>
  <si>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</si>
  <si>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</si>
  <si>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</si>
  <si>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</si>
  <si>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</si>
  <si>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</si>
  <si>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</si>
  <si>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</si>
  <si>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</si>
  <si>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</si>
  <si>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</si>
  <si>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</si>
  <si>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</si>
  <si>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</si>
  <si>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</si>
  <si>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</si>
  <si>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</si>
  <si>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</si>
  <si>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</si>
  <si>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</si>
  <si>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</si>
  <si>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</si>
  <si>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</si>
  <si>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</si>
  <si>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</si>
  <si>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</si>
  <si>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</si>
  <si>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</si>
  <si>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</si>
  <si>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</si>
  <si>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</si>
  <si>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</si>
  <si>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</si>
  <si>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</si>
  <si>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</si>
  <si>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</si>
  <si>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</si>
  <si>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</si>
  <si>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</si>
  <si>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</si>
  <si>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</si>
  <si>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</si>
  <si>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</si>
  <si>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</si>
  <si>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</si>
  <si>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</si>
  <si>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</si>
  <si>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</si>
  <si>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</si>
  <si>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</si>
  <si>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</si>
  <si>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</si>
  <si>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</si>
  <si>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</si>
  <si>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</si>
  <si>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</si>
  <si>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</si>
  <si>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</si>
  <si>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</si>
  <si>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</si>
  <si>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</si>
  <si>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</si>
  <si>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</si>
  <si>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</si>
  <si>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</si>
  <si>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</si>
  <si>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</si>
  <si>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</si>
  <si>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</si>
  <si>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</si>
  <si>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</si>
  <si>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</si>
  <si>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</si>
  <si>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</si>
  <si>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</si>
  <si>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</si>
  <si>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</si>
  <si>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</si>
  <si>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</si>
  <si>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</si>
  <si>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</si>
  <si>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</si>
  <si>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</si>
  <si>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</si>
  <si>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</si>
  <si>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</si>
  <si>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</si>
  <si>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</si>
  <si>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</si>
  <si>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</si>
  <si>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</si>
  <si>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</si>
  <si>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</si>
  <si>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</si>
  <si>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</si>
  <si>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</si>
  <si>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</si>
  <si>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</si>
  <si>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</si>
  <si>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</si>
  <si>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</si>
  <si>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</si>
  <si>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</si>
  <si>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</si>
  <si>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</si>
  <si>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</si>
  <si>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</si>
  <si>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t>
  </si>
  <si>
    <t>Percentage</t>
  </si>
  <si>
    <t>Grade</t>
  </si>
  <si>
    <t>Discount Rate</t>
  </si>
  <si>
    <t>Last amount</t>
  </si>
  <si>
    <t>use of if(or(…))</t>
  </si>
  <si>
    <t>IF(AND…)USE FOR</t>
  </si>
  <si>
    <t xml:space="preserve">count students with math score &gt;50  </t>
  </si>
  <si>
    <t>Average students score&gt;60</t>
  </si>
  <si>
    <t>fetch student names based on ID</t>
  </si>
  <si>
    <t>student ID</t>
  </si>
  <si>
    <t>Extract the first name using LEFT</t>
  </si>
  <si>
    <t>Enter num(1 to 7)</t>
  </si>
  <si>
    <t>using Text function (find)</t>
  </si>
  <si>
    <t>enter char</t>
  </si>
  <si>
    <t>d</t>
  </si>
  <si>
    <t>Using UPPER,LOWER</t>
  </si>
  <si>
    <t xml:space="preserve"> </t>
  </si>
  <si>
    <t xml:space="preserve">List of top- forming students based </t>
  </si>
  <si>
    <t>Price</t>
  </si>
  <si>
    <t>Averager</t>
  </si>
  <si>
    <t>Product:Mouse</t>
  </si>
  <si>
    <t>Region: South</t>
  </si>
  <si>
    <t>Find Amount for Sales ID 2007</t>
  </si>
  <si>
    <t>Sales for person 1 in January 2023</t>
  </si>
  <si>
    <t>product prices based on product codes.</t>
  </si>
  <si>
    <t>Product code</t>
  </si>
  <si>
    <t>find sales values for a specific salesperson in a specific month.</t>
  </si>
  <si>
    <t xml:space="preserve">Salesperson </t>
  </si>
  <si>
    <t>Salesperson performance based on flexible serach criteris.</t>
  </si>
  <si>
    <t xml:space="preserve">find the position of a product </t>
  </si>
  <si>
    <t>postion</t>
  </si>
  <si>
    <t>Round</t>
  </si>
  <si>
    <t>celling</t>
  </si>
  <si>
    <t>Floor</t>
  </si>
  <si>
    <t>DOB</t>
  </si>
  <si>
    <t>AGE</t>
  </si>
  <si>
    <t>DIF-DATE</t>
  </si>
  <si>
    <t>Find salary for employee ID</t>
  </si>
  <si>
    <t>calculate year of service</t>
  </si>
  <si>
    <t>Employee  details daynamic  salary</t>
  </si>
  <si>
    <t>Daynamically reference a cell range using INDEXCT.</t>
  </si>
  <si>
    <t>A9</t>
  </si>
  <si>
    <t>C1</t>
  </si>
  <si>
    <t>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</si>
</sst>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3"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sz val="11"/>
      <color theme="5"/>
      <name val="Calibri"/>
      <family val="2"/>
      <scheme val="minor"/>
    </font>
    <font>
      <sz val="11"/>
      <color rgb="FF002060"/>
      <name val="Calibri"/>
      <family val="2"/>
      <scheme val="minor"/>
    </font>
    <font>
      <sz val="11"/>
      <color rgb="FFC00000"/>
      <name val="Calibri"/>
      <family val="2"/>
      <scheme val="minor"/>
    </font>
  </fonts>
  <fills count="28">
    <fill>
      <patternFill patternType="none"/>
    </fill>
    <fill>
      <patternFill patternType="gray125"/>
    </fill>
    <fill>
      <patternFill patternType="solid">
        <fgColor rgb="FFFFF2CC"/>
        <bgColor rgb="FFFFF2CC"/>
      </patternFill>
    </fill>
    <fill>
      <patternFill patternType="solid">
        <fgColor theme="6"/>
        <bgColor indexed="64"/>
      </patternFill>
    </fill>
    <fill>
      <patternFill patternType="solid">
        <fgColor theme="8"/>
        <bgColor indexed="64"/>
      </patternFill>
    </fill>
    <fill>
      <patternFill patternType="solid">
        <fgColor rgb="FF0070C0"/>
        <bgColor indexed="64"/>
      </patternFill>
    </fill>
    <fill>
      <patternFill patternType="solid">
        <fgColor theme="7"/>
        <bgColor indexed="64"/>
      </patternFill>
    </fill>
    <fill>
      <patternFill patternType="solid">
        <fgColor theme="5"/>
        <bgColor indexed="64"/>
      </patternFill>
    </fill>
    <fill>
      <patternFill patternType="solid">
        <fgColor theme="2" tint="-0.249977111117893"/>
        <bgColor indexed="64"/>
      </patternFill>
    </fill>
    <fill>
      <patternFill patternType="solid">
        <fgColor theme="4"/>
        <bgColor indexed="64"/>
      </patternFill>
    </fill>
    <fill>
      <patternFill patternType="solid">
        <fgColor rgb="FFFFC000"/>
        <bgColor indexed="64"/>
      </patternFill>
    </fill>
    <fill>
      <patternFill patternType="solid">
        <fgColor theme="2" tint="-0.149998474074526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9" tint="-0.249977111117893"/>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61">
    <xf numFmtId="0" fontId="0" fillId="0" borderId="0" xfId="0"/>
    <xf numFmtId="0" fontId="2" fillId="2" borderId="1" xfId="0" applyFont="1" applyFill="1" applyBorder="1" applyAlignment="1">
      <alignment horizontal="center" vertical="center"/>
    </xf>
    <xf numFmtId="0" fontId="3" fillId="0" borderId="0" xfId="0" applyFont="1" applyAlignment="1">
      <alignment vertical="center"/>
    </xf>
    <xf numFmtId="0" fontId="4"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5" fillId="2" borderId="1" xfId="0" applyFont="1" applyFill="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 fontId="3" fillId="0" borderId="0" xfId="0" applyNumberFormat="1" applyFon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0" fillId="7" borderId="0" xfId="0" applyFill="1"/>
    <xf numFmtId="0" fontId="3" fillId="8" borderId="0" xfId="0" applyFont="1" applyFill="1" applyAlignment="1">
      <alignment horizontal="center" vertical="center"/>
    </xf>
    <xf numFmtId="0" fontId="3" fillId="9" borderId="0" xfId="0" applyFont="1" applyFill="1" applyAlignment="1">
      <alignment horizontal="center" vertical="center"/>
    </xf>
    <xf numFmtId="0" fontId="3" fillId="10" borderId="0" xfId="0" applyFont="1" applyFill="1" applyAlignment="1">
      <alignment horizontal="center" vertical="center"/>
    </xf>
    <xf numFmtId="0" fontId="3" fillId="11" borderId="0" xfId="0" applyFont="1" applyFill="1" applyAlignment="1">
      <alignment horizontal="center" vertical="center"/>
    </xf>
    <xf numFmtId="0" fontId="1" fillId="0" borderId="0" xfId="0" applyFont="1" applyAlignment="1">
      <alignment horizontal="center" vertical="center"/>
    </xf>
    <xf numFmtId="0" fontId="1" fillId="12" borderId="0" xfId="0" applyFont="1" applyFill="1" applyAlignment="1">
      <alignment horizontal="center" vertical="center"/>
    </xf>
    <xf numFmtId="0" fontId="3" fillId="12" borderId="0" xfId="0" applyFont="1" applyFill="1" applyAlignment="1">
      <alignment horizontal="center" vertical="center"/>
    </xf>
    <xf numFmtId="0" fontId="1" fillId="13" borderId="0" xfId="0" applyFont="1" applyFill="1" applyAlignment="1">
      <alignment horizontal="center" vertical="center"/>
    </xf>
    <xf numFmtId="0" fontId="3" fillId="13" borderId="0" xfId="0" applyFont="1" applyFill="1" applyAlignment="1">
      <alignment horizontal="center" vertical="center"/>
    </xf>
    <xf numFmtId="0" fontId="1" fillId="14" borderId="0" xfId="0" applyFont="1" applyFill="1" applyAlignment="1">
      <alignment horizontal="center" vertical="center"/>
    </xf>
    <xf numFmtId="0" fontId="3" fillId="14" borderId="0" xfId="0" applyFont="1" applyFill="1" applyAlignment="1">
      <alignment horizontal="center" vertical="center"/>
    </xf>
    <xf numFmtId="0" fontId="3" fillId="15" borderId="0" xfId="0" applyFont="1" applyFill="1" applyAlignment="1">
      <alignment horizontal="center" vertical="center"/>
    </xf>
    <xf numFmtId="0" fontId="3" fillId="16" borderId="0" xfId="0" applyFont="1" applyFill="1" applyAlignment="1">
      <alignment horizontal="center" vertical="center"/>
    </xf>
    <xf numFmtId="0" fontId="3" fillId="17" borderId="0" xfId="0" applyFont="1" applyFill="1" applyAlignment="1">
      <alignment horizontal="center" vertical="center"/>
    </xf>
    <xf numFmtId="0" fontId="1" fillId="18" borderId="0" xfId="0" applyFont="1" applyFill="1" applyAlignment="1">
      <alignment horizontal="center" vertical="center"/>
    </xf>
    <xf numFmtId="0" fontId="3" fillId="19" borderId="0" xfId="0" applyFont="1" applyFill="1" applyAlignment="1">
      <alignment horizontal="center" vertical="center"/>
    </xf>
    <xf numFmtId="0" fontId="3" fillId="20" borderId="0" xfId="0" applyFont="1" applyFill="1" applyAlignment="1">
      <alignment horizontal="center" vertical="center"/>
    </xf>
    <xf numFmtId="0" fontId="1" fillId="21" borderId="0" xfId="0" applyFont="1" applyFill="1" applyAlignment="1">
      <alignment horizontal="center" vertical="center"/>
    </xf>
    <xf numFmtId="0" fontId="3" fillId="21" borderId="0" xfId="0" applyFont="1" applyFill="1" applyAlignment="1">
      <alignment horizontal="center" vertical="center"/>
    </xf>
    <xf numFmtId="0" fontId="3" fillId="20" borderId="0" xfId="0" applyFont="1" applyFill="1" applyAlignment="1">
      <alignment horizontal="center" vertical="center"/>
    </xf>
    <xf numFmtId="0" fontId="3" fillId="4" borderId="0" xfId="0" applyFont="1" applyFill="1" applyAlignment="1">
      <alignment horizontal="center" vertical="center"/>
    </xf>
    <xf numFmtId="0" fontId="3" fillId="8" borderId="0" xfId="0" applyFont="1" applyFill="1" applyAlignment="1">
      <alignment horizontal="center" vertical="center"/>
    </xf>
    <xf numFmtId="0" fontId="3" fillId="19" borderId="0" xfId="0" applyFont="1" applyFill="1" applyAlignment="1">
      <alignment horizontal="center" vertical="center"/>
    </xf>
    <xf numFmtId="0" fontId="3" fillId="22" borderId="0" xfId="0" applyFont="1" applyFill="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3" fillId="7" borderId="0" xfId="0" applyFont="1" applyFill="1" applyAlignment="1">
      <alignment horizontal="center" vertical="center"/>
    </xf>
    <xf numFmtId="0" fontId="3" fillId="23" borderId="0" xfId="0" applyFont="1" applyFill="1" applyAlignment="1">
      <alignment horizontal="center" vertical="center"/>
    </xf>
    <xf numFmtId="0" fontId="1" fillId="24" borderId="0" xfId="0" applyFont="1" applyFill="1" applyAlignment="1">
      <alignment horizontal="center" vertical="center"/>
    </xf>
    <xf numFmtId="0" fontId="1" fillId="6" borderId="0" xfId="0" applyFont="1" applyFill="1" applyAlignment="1">
      <alignment horizontal="center" vertical="center"/>
    </xf>
    <xf numFmtId="0" fontId="3" fillId="6" borderId="0" xfId="0" applyFont="1" applyFill="1" applyAlignment="1">
      <alignment horizontal="center" vertical="center"/>
    </xf>
    <xf numFmtId="0" fontId="1" fillId="3" borderId="0" xfId="0" applyFont="1" applyFill="1" applyAlignment="1">
      <alignment horizontal="center" vertical="center"/>
    </xf>
    <xf numFmtId="0" fontId="12" fillId="0" borderId="0" xfId="0" applyFont="1" applyAlignment="1">
      <alignment horizontal="center" vertical="center"/>
    </xf>
    <xf numFmtId="0" fontId="1" fillId="25" borderId="0" xfId="0" applyFont="1" applyFill="1" applyAlignment="1">
      <alignment horizontal="center" vertical="center"/>
    </xf>
    <xf numFmtId="0" fontId="1" fillId="26" borderId="0" xfId="0" applyFont="1" applyFill="1" applyAlignment="1">
      <alignment horizontal="center" vertical="center"/>
    </xf>
    <xf numFmtId="0" fontId="3" fillId="26" borderId="0" xfId="0" applyFont="1" applyFill="1" applyAlignment="1">
      <alignment horizontal="center" vertical="center"/>
    </xf>
    <xf numFmtId="0" fontId="3" fillId="27" borderId="0" xfId="0" applyFont="1" applyFill="1" applyAlignment="1">
      <alignment horizontal="center" vertical="center"/>
    </xf>
    <xf numFmtId="0" fontId="1" fillId="27" borderId="0" xfId="0" applyFont="1" applyFill="1" applyAlignment="1">
      <alignment horizontal="center" vertical="center"/>
    </xf>
    <xf numFmtId="0" fontId="3" fillId="21" borderId="0" xfId="0" applyFont="1" applyFill="1" applyAlignment="1">
      <alignment horizontal="center" vertical="center"/>
    </xf>
    <xf numFmtId="164" fontId="4" fillId="0" borderId="3" xfId="0" applyNumberFormat="1" applyFont="1" applyBorder="1" applyAlignment="1">
      <alignment horizontal="center" vertical="center"/>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9" fontId="3" fillId="0" borderId="2" xfId="0" applyNumberFormat="1" applyFont="1" applyBorder="1" applyAlignment="1">
      <alignment horizontal="center" vertical="center"/>
    </xf>
    <xf numFmtId="1" fontId="3" fillId="0" borderId="2" xfId="0" applyNumberFormat="1" applyFont="1" applyBorder="1" applyAlignment="1">
      <alignment horizontal="center"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zoomScale="48" zoomScaleNormal="40" workbookViewId="0">
      <selection activeCell="B53" sqref="B53:G56"/>
    </sheetView>
  </sheetViews>
  <sheetFormatPr defaultColWidth="14.44140625" defaultRowHeight="15" customHeight="1" x14ac:dyDescent="0.3"/>
  <cols>
    <col min="1" max="1" width="75.44140625" customWidth="1"/>
  </cols>
  <sheetData>
    <row r="1" spans="1:26"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x14ac:dyDescent="0.3">
      <c r="A2" s="3" t="s">
        <v>1</v>
      </c>
      <c r="B2" s="2"/>
      <c r="C2" s="2"/>
      <c r="D2" s="2"/>
      <c r="E2" s="2"/>
      <c r="F2" s="2"/>
      <c r="G2" s="2"/>
      <c r="H2" s="2"/>
      <c r="I2" s="2"/>
      <c r="J2" s="2"/>
      <c r="K2" s="2"/>
      <c r="L2" s="2"/>
      <c r="M2" s="2"/>
      <c r="N2" s="2"/>
      <c r="O2" s="2"/>
      <c r="P2" s="2"/>
      <c r="Q2" s="2"/>
      <c r="R2" s="2"/>
      <c r="S2" s="2"/>
      <c r="T2" s="2"/>
      <c r="U2" s="2"/>
      <c r="V2" s="2"/>
      <c r="W2" s="2"/>
      <c r="X2" s="2"/>
      <c r="Y2" s="2"/>
      <c r="Z2" s="2"/>
    </row>
    <row r="3" spans="1:26" x14ac:dyDescent="0.3">
      <c r="A3" s="2"/>
      <c r="B3" s="2"/>
      <c r="C3" s="2"/>
      <c r="D3" s="2"/>
      <c r="E3" s="2"/>
      <c r="F3" s="2"/>
      <c r="G3" s="2"/>
      <c r="H3" s="2"/>
      <c r="I3" s="2"/>
      <c r="J3" s="2"/>
      <c r="K3" s="2"/>
      <c r="L3" s="2"/>
      <c r="M3" s="2"/>
      <c r="N3" s="2"/>
      <c r="O3" s="2"/>
      <c r="P3" s="2"/>
      <c r="Q3" s="2"/>
      <c r="R3" s="2"/>
      <c r="S3" s="2"/>
      <c r="T3" s="2"/>
      <c r="U3" s="2"/>
      <c r="V3" s="2"/>
      <c r="W3" s="2"/>
      <c r="X3" s="2"/>
      <c r="Y3" s="2"/>
      <c r="Z3" s="2"/>
    </row>
    <row r="4" spans="1:26" x14ac:dyDescent="0.3">
      <c r="A4" s="2"/>
      <c r="B4" s="2"/>
      <c r="C4" s="2"/>
      <c r="D4" s="2"/>
      <c r="E4" s="2"/>
      <c r="F4" s="2"/>
      <c r="G4" s="2"/>
      <c r="H4" s="2"/>
      <c r="I4" s="2"/>
      <c r="J4" s="2"/>
      <c r="K4" s="2"/>
      <c r="L4" s="2"/>
      <c r="M4" s="2"/>
      <c r="N4" s="2"/>
      <c r="O4" s="2"/>
      <c r="P4" s="2"/>
      <c r="Q4" s="2"/>
      <c r="R4" s="2"/>
      <c r="S4" s="2"/>
      <c r="T4" s="2"/>
      <c r="U4" s="2"/>
      <c r="V4" s="2"/>
      <c r="W4" s="2"/>
      <c r="X4" s="2"/>
      <c r="Y4" s="2"/>
      <c r="Z4" s="2"/>
    </row>
    <row r="5" spans="1:26" x14ac:dyDescent="0.3">
      <c r="A5" s="1" t="s">
        <v>2</v>
      </c>
      <c r="B5" s="2"/>
      <c r="C5" s="2"/>
      <c r="D5" s="2"/>
      <c r="E5" s="2"/>
      <c r="F5" s="2"/>
      <c r="G5" s="2"/>
      <c r="H5" s="2"/>
      <c r="I5" s="2"/>
      <c r="J5" s="2"/>
      <c r="K5" s="2"/>
      <c r="L5" s="2"/>
      <c r="M5" s="2"/>
      <c r="N5" s="2"/>
      <c r="O5" s="2"/>
      <c r="P5" s="2"/>
      <c r="Q5" s="2"/>
      <c r="R5" s="2"/>
      <c r="S5" s="2"/>
      <c r="T5" s="2"/>
      <c r="U5" s="2"/>
      <c r="V5" s="2"/>
      <c r="W5" s="2"/>
      <c r="X5" s="2"/>
      <c r="Y5" s="2"/>
      <c r="Z5" s="2"/>
    </row>
    <row r="6" spans="1:26" x14ac:dyDescent="0.3">
      <c r="A6" s="4" t="s">
        <v>3</v>
      </c>
      <c r="B6" s="2"/>
      <c r="C6" s="2"/>
      <c r="D6" s="2"/>
      <c r="E6" s="2"/>
      <c r="F6" s="2"/>
      <c r="G6" s="2"/>
      <c r="H6" s="2"/>
      <c r="I6" s="2"/>
      <c r="J6" s="2"/>
      <c r="K6" s="2"/>
      <c r="L6" s="2"/>
      <c r="M6" s="2"/>
      <c r="N6" s="2"/>
      <c r="O6" s="2"/>
      <c r="P6" s="2"/>
      <c r="Q6" s="2"/>
      <c r="R6" s="2"/>
      <c r="S6" s="2"/>
      <c r="T6" s="2"/>
      <c r="U6" s="2"/>
      <c r="V6" s="2"/>
      <c r="W6" s="2"/>
      <c r="X6" s="2"/>
      <c r="Y6" s="2"/>
      <c r="Z6" s="2"/>
    </row>
    <row r="7" spans="1:26" x14ac:dyDescent="0.3">
      <c r="A7" s="5" t="s">
        <v>4</v>
      </c>
      <c r="B7" s="2"/>
      <c r="C7" s="2"/>
      <c r="D7" s="2"/>
      <c r="E7" s="2"/>
      <c r="F7" s="2"/>
      <c r="G7" s="2"/>
      <c r="H7" s="2"/>
      <c r="I7" s="2"/>
      <c r="J7" s="2"/>
      <c r="K7" s="2"/>
      <c r="L7" s="2"/>
      <c r="M7" s="2"/>
      <c r="N7" s="2"/>
      <c r="O7" s="2"/>
      <c r="P7" s="2"/>
      <c r="Q7" s="2"/>
      <c r="R7" s="2"/>
      <c r="S7" s="2"/>
      <c r="T7" s="2"/>
      <c r="U7" s="2"/>
      <c r="V7" s="2"/>
      <c r="W7" s="2"/>
      <c r="X7" s="2"/>
      <c r="Y7" s="2"/>
      <c r="Z7" s="2"/>
    </row>
    <row r="8" spans="1:26" x14ac:dyDescent="0.3">
      <c r="A8" s="5" t="s">
        <v>5</v>
      </c>
      <c r="B8" s="2"/>
      <c r="C8" s="2"/>
      <c r="D8" s="2"/>
      <c r="E8" s="2"/>
      <c r="F8" s="2"/>
      <c r="G8" s="2"/>
      <c r="H8" s="2"/>
      <c r="I8" s="2"/>
      <c r="J8" s="2"/>
      <c r="K8" s="2"/>
      <c r="L8" s="2"/>
      <c r="M8" s="2"/>
      <c r="N8" s="2"/>
      <c r="O8" s="2"/>
      <c r="P8" s="2"/>
      <c r="Q8" s="2"/>
      <c r="R8" s="2"/>
      <c r="S8" s="2"/>
      <c r="T8" s="2"/>
      <c r="U8" s="2"/>
      <c r="V8" s="2"/>
      <c r="W8" s="2"/>
      <c r="X8" s="2"/>
      <c r="Y8" s="2"/>
      <c r="Z8" s="2"/>
    </row>
    <row r="9" spans="1:26" x14ac:dyDescent="0.3">
      <c r="A9" s="5"/>
      <c r="B9" s="2"/>
      <c r="C9" s="2"/>
      <c r="D9" s="2"/>
      <c r="E9" s="2"/>
      <c r="F9" s="2"/>
      <c r="G9" s="2"/>
      <c r="H9" s="2"/>
      <c r="I9" s="2"/>
      <c r="J9" s="2"/>
      <c r="K9" s="2"/>
      <c r="L9" s="2"/>
      <c r="M9" s="2"/>
      <c r="N9" s="2"/>
      <c r="O9" s="2"/>
      <c r="P9" s="2"/>
      <c r="Q9" s="2"/>
      <c r="R9" s="2"/>
      <c r="S9" s="2"/>
      <c r="T9" s="2"/>
      <c r="U9" s="2"/>
      <c r="V9" s="2"/>
      <c r="W9" s="2"/>
      <c r="X9" s="2"/>
      <c r="Y9" s="2"/>
      <c r="Z9" s="2"/>
    </row>
    <row r="10" spans="1:26" x14ac:dyDescent="0.3">
      <c r="A10" s="4"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3">
      <c r="A11" s="5"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3">
      <c r="A12" s="5"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3">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3">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3">
      <c r="A15" s="5"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3">
      <c r="A16" s="5"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3">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3">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3">
      <c r="A19" s="5"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3">
      <c r="A20" s="5"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3">
      <c r="A21" s="5"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3">
      <c r="A22" s="5"/>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3">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3">
      <c r="A24" s="5"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3">
      <c r="A25" s="5"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3">
      <c r="A26" s="5"/>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3">
      <c r="A27" s="4"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3">
      <c r="A28" s="5"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3">
      <c r="A29" s="5"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
      <c r="A30" s="5"/>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
      <c r="A32" s="5"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
      <c r="A33" s="5"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
      <c r="A34" s="5"/>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3">
      <c r="A35" s="4"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3">
      <c r="A36" s="5"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3">
      <c r="A37" s="5"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
      <c r="A38" s="5"/>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3">
      <c r="A39" s="4"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3">
      <c r="A40" s="5"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
      <c r="A41" s="5"/>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
      <c r="A42" s="4"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3">
      <c r="A43" s="5"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
      <c r="A44" s="5"/>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3">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3">
      <c r="A46" s="5"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3">
      <c r="A47" s="5"/>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3">
      <c r="A48" s="4" t="s">
        <v>34</v>
      </c>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3">
      <c r="A49" s="5"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3">
      <c r="A50" s="5"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
      <c r="A51" s="5"/>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3">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3">
      <c r="A53" s="5" t="s">
        <v>38</v>
      </c>
      <c r="B53" s="60"/>
      <c r="C53" s="60"/>
      <c r="D53" s="60"/>
      <c r="E53" s="60"/>
      <c r="F53" s="60"/>
      <c r="G53" s="60"/>
      <c r="H53" s="2"/>
      <c r="I53" s="2"/>
      <c r="J53" s="2"/>
      <c r="K53" s="2"/>
      <c r="L53" s="2"/>
      <c r="M53" s="2"/>
      <c r="N53" s="2"/>
      <c r="O53" s="2"/>
      <c r="P53" s="2"/>
      <c r="Q53" s="2"/>
      <c r="R53" s="2"/>
      <c r="S53" s="2"/>
      <c r="T53" s="2"/>
      <c r="U53" s="2"/>
      <c r="V53" s="2"/>
      <c r="W53" s="2"/>
      <c r="X53" s="2"/>
      <c r="Y53" s="2"/>
      <c r="Z53" s="2"/>
    </row>
    <row r="54" spans="1:26" x14ac:dyDescent="0.3">
      <c r="A54" s="5"/>
      <c r="B54" s="60"/>
      <c r="C54" s="60"/>
      <c r="D54" s="60"/>
      <c r="E54" s="60"/>
      <c r="F54" s="60"/>
      <c r="G54" s="60"/>
      <c r="H54" s="2"/>
      <c r="I54" s="2"/>
      <c r="J54" s="2"/>
      <c r="K54" s="2"/>
      <c r="L54" s="2"/>
      <c r="M54" s="2"/>
      <c r="N54" s="2"/>
      <c r="O54" s="2"/>
      <c r="P54" s="2"/>
      <c r="Q54" s="2"/>
      <c r="R54" s="2"/>
      <c r="S54" s="2"/>
      <c r="T54" s="2"/>
      <c r="U54" s="2"/>
      <c r="V54" s="2"/>
      <c r="W54" s="2"/>
      <c r="X54" s="2"/>
      <c r="Y54" s="2"/>
      <c r="Z54" s="2"/>
    </row>
    <row r="55" spans="1:26" x14ac:dyDescent="0.3">
      <c r="A55" s="4" t="s">
        <v>39</v>
      </c>
      <c r="B55" s="60"/>
      <c r="C55" s="60"/>
      <c r="D55" s="60"/>
      <c r="E55" s="60"/>
      <c r="F55" s="60"/>
      <c r="G55" s="60"/>
      <c r="H55" s="2"/>
      <c r="I55" s="2"/>
      <c r="J55" s="2"/>
      <c r="K55" s="2"/>
      <c r="L55" s="2"/>
      <c r="M55" s="2"/>
      <c r="N55" s="2"/>
      <c r="O55" s="2"/>
      <c r="P55" s="2"/>
      <c r="Q55" s="2"/>
      <c r="R55" s="2"/>
      <c r="S55" s="2"/>
      <c r="T55" s="2"/>
      <c r="U55" s="2"/>
      <c r="V55" s="2"/>
      <c r="W55" s="2"/>
      <c r="X55" s="2"/>
      <c r="Y55" s="2"/>
      <c r="Z55" s="2"/>
    </row>
    <row r="56" spans="1:26" x14ac:dyDescent="0.3">
      <c r="A56" s="5" t="s">
        <v>40</v>
      </c>
      <c r="B56" s="60"/>
      <c r="C56" s="60"/>
      <c r="D56" s="60"/>
      <c r="E56" s="60"/>
      <c r="F56" s="60"/>
      <c r="G56" s="60"/>
      <c r="H56" s="2"/>
      <c r="I56" s="2"/>
      <c r="J56" s="2"/>
      <c r="K56" s="2"/>
      <c r="L56" s="2"/>
      <c r="M56" s="2"/>
      <c r="N56" s="2"/>
      <c r="O56" s="2"/>
      <c r="P56" s="2"/>
      <c r="Q56" s="2"/>
      <c r="R56" s="2"/>
      <c r="S56" s="2"/>
      <c r="T56" s="2"/>
      <c r="U56" s="2"/>
      <c r="V56" s="2"/>
      <c r="W56" s="2"/>
      <c r="X56" s="2"/>
      <c r="Y56" s="2"/>
      <c r="Z56" s="2"/>
    </row>
    <row r="57" spans="1:26"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P25" sqref="P25"/>
    </sheetView>
  </sheetViews>
  <sheetFormatPr defaultColWidth="14.44140625" defaultRowHeight="15" customHeight="1" x14ac:dyDescent="0.3"/>
  <cols>
    <col min="1" max="1" width="10.33203125" customWidth="1"/>
    <col min="2" max="2" width="10.44140625" customWidth="1"/>
    <col min="3" max="3" width="5.88671875" customWidth="1"/>
    <col min="4" max="4" width="7.5546875" customWidth="1"/>
    <col min="5" max="5" width="7.33203125" customWidth="1"/>
    <col min="6" max="6" width="18.88671875" customWidth="1"/>
    <col min="7" max="7" width="8.6640625" customWidth="1"/>
    <col min="8" max="8" width="10.44140625" bestFit="1" customWidth="1"/>
    <col min="9" max="9" width="8.6640625" customWidth="1"/>
    <col min="10" max="10" width="15.6640625" bestFit="1" customWidth="1"/>
    <col min="11" max="14" width="8.6640625" customWidth="1"/>
    <col min="15" max="15" width="5.44140625" customWidth="1"/>
    <col min="16" max="16" width="12" bestFit="1" customWidth="1"/>
    <col min="17" max="25" width="8.6640625" customWidth="1"/>
  </cols>
  <sheetData>
    <row r="1" spans="1:25" ht="14.4" x14ac:dyDescent="0.3">
      <c r="A1" s="6" t="s">
        <v>41</v>
      </c>
      <c r="B1" s="6" t="s">
        <v>42</v>
      </c>
      <c r="C1" s="6" t="s">
        <v>43</v>
      </c>
      <c r="D1" s="6" t="s">
        <v>44</v>
      </c>
      <c r="E1" s="6" t="s">
        <v>45</v>
      </c>
      <c r="F1" s="6" t="s">
        <v>46</v>
      </c>
      <c r="G1" s="6" t="s">
        <v>130</v>
      </c>
      <c r="H1" s="6" t="s">
        <v>131</v>
      </c>
      <c r="I1" s="54" t="s">
        <v>132</v>
      </c>
      <c r="J1" s="54" t="s">
        <v>136</v>
      </c>
      <c r="K1" s="7"/>
      <c r="L1" s="11" t="s">
        <v>137</v>
      </c>
      <c r="M1" s="11"/>
      <c r="N1" s="11"/>
      <c r="O1" s="11"/>
      <c r="P1" s="13">
        <f>COUNTIFS(C:C,"&gt;50")</f>
        <v>19</v>
      </c>
      <c r="Q1" s="7"/>
      <c r="R1" s="7"/>
      <c r="S1" s="7"/>
      <c r="T1" s="7"/>
      <c r="U1" s="7"/>
      <c r="V1" s="7"/>
      <c r="W1" s="7"/>
      <c r="X1" s="7"/>
      <c r="Y1" s="7"/>
    </row>
    <row r="2" spans="1:25" ht="14.4" x14ac:dyDescent="0.3">
      <c r="A2" s="8">
        <v>1001</v>
      </c>
      <c r="B2" s="8" t="s">
        <v>47</v>
      </c>
      <c r="C2" s="8">
        <v>61</v>
      </c>
      <c r="D2" s="8">
        <v>48</v>
      </c>
      <c r="E2" s="8">
        <v>76</v>
      </c>
      <c r="F2" s="9">
        <v>43101</v>
      </c>
      <c r="G2" s="7">
        <f>SUM(C2:E2)</f>
        <v>185</v>
      </c>
      <c r="H2" s="10">
        <f>AVERAGE(C2:E2)</f>
        <v>61.666666666666664</v>
      </c>
      <c r="I2" s="7" t="str">
        <f>IF(H2&gt;=90,"A",IF(H2&gt;=80,"B",IF(H2&gt;=70,"C",IF(H2&gt;=60,"D","F"))))</f>
        <v>D</v>
      </c>
      <c r="J2" s="7" t="str">
        <f>IF(AND(C2&gt;=80,D2&gt;=80),"pass","fail")</f>
        <v>fail</v>
      </c>
      <c r="K2" s="7"/>
      <c r="L2" s="11"/>
      <c r="M2" s="11"/>
      <c r="N2" s="11"/>
      <c r="O2" s="11"/>
      <c r="P2" s="7"/>
      <c r="Q2" s="7"/>
      <c r="R2" s="7"/>
      <c r="S2" s="7"/>
      <c r="T2" s="7"/>
      <c r="U2" s="7"/>
      <c r="V2" s="7"/>
      <c r="W2" s="7"/>
      <c r="X2" s="7"/>
      <c r="Y2" s="7"/>
    </row>
    <row r="3" spans="1:25" ht="14.4" x14ac:dyDescent="0.3">
      <c r="A3" s="8">
        <v>1002</v>
      </c>
      <c r="B3" s="8" t="s">
        <v>48</v>
      </c>
      <c r="C3" s="8">
        <v>78</v>
      </c>
      <c r="D3" s="8">
        <v>76</v>
      </c>
      <c r="E3" s="8">
        <v>70</v>
      </c>
      <c r="F3" s="9">
        <v>43281</v>
      </c>
      <c r="G3" s="7">
        <f t="shared" ref="G3:G21" si="0">SUM(C3:E3)</f>
        <v>224</v>
      </c>
      <c r="H3" s="10">
        <f t="shared" ref="H3:H21" si="1">AVERAGE(C3:E3)</f>
        <v>74.666666666666671</v>
      </c>
      <c r="I3" s="7" t="str">
        <f t="shared" ref="I3:I21" si="2">IF(H3&gt;=90,"A",IF(H3&gt;=80,"B",IF(H3&gt;=70,"C",IF(H3&gt;=60,"D","F"))))</f>
        <v>C</v>
      </c>
      <c r="J3" s="7" t="str">
        <f t="shared" ref="J3:J21" si="3">IF(AND(C3&gt;=80,D3&gt;=80),"pass","fail")</f>
        <v>fail</v>
      </c>
      <c r="K3" s="7"/>
      <c r="L3" s="12" t="s">
        <v>138</v>
      </c>
      <c r="M3" s="12"/>
      <c r="N3" s="12"/>
      <c r="O3" s="12"/>
      <c r="P3" s="14">
        <f>AVERAGEIF(C:C,"&gt;60")</f>
        <v>82.263157894736835</v>
      </c>
      <c r="Q3" s="7"/>
      <c r="R3" s="7"/>
      <c r="S3" s="7"/>
      <c r="T3" s="7"/>
      <c r="U3" s="7"/>
      <c r="V3" s="7"/>
      <c r="W3" s="7"/>
      <c r="X3" s="7"/>
      <c r="Y3" s="7"/>
    </row>
    <row r="4" spans="1:25" ht="14.4" x14ac:dyDescent="0.3">
      <c r="A4" s="8">
        <v>1003</v>
      </c>
      <c r="B4" s="8" t="s">
        <v>49</v>
      </c>
      <c r="C4" s="8">
        <v>97</v>
      </c>
      <c r="D4" s="8">
        <v>60</v>
      </c>
      <c r="E4" s="8">
        <v>51</v>
      </c>
      <c r="F4" s="9">
        <v>43461</v>
      </c>
      <c r="G4" s="7">
        <f t="shared" si="0"/>
        <v>208</v>
      </c>
      <c r="H4" s="10">
        <f t="shared" si="1"/>
        <v>69.333333333333329</v>
      </c>
      <c r="I4" s="7" t="str">
        <f t="shared" si="2"/>
        <v>D</v>
      </c>
      <c r="J4" s="7" t="str">
        <f t="shared" si="3"/>
        <v>fail</v>
      </c>
      <c r="K4" s="7"/>
      <c r="L4" s="12"/>
      <c r="M4" s="12"/>
      <c r="N4" s="12"/>
      <c r="O4" s="12"/>
      <c r="P4" s="7"/>
      <c r="Q4" s="7"/>
      <c r="R4" s="7"/>
      <c r="S4" s="7"/>
      <c r="T4" s="7"/>
      <c r="U4" s="7"/>
      <c r="V4" s="7"/>
      <c r="W4" s="7"/>
      <c r="X4" s="7"/>
      <c r="Y4" s="7"/>
    </row>
    <row r="5" spans="1:25" ht="14.4" x14ac:dyDescent="0.3">
      <c r="A5" s="8">
        <v>1004</v>
      </c>
      <c r="B5" s="8" t="s">
        <v>50</v>
      </c>
      <c r="C5" s="8">
        <v>74</v>
      </c>
      <c r="D5" s="8">
        <v>55</v>
      </c>
      <c r="E5" s="8">
        <v>46</v>
      </c>
      <c r="F5" s="9">
        <v>43641</v>
      </c>
      <c r="G5" s="7">
        <f t="shared" si="0"/>
        <v>175</v>
      </c>
      <c r="H5" s="10">
        <f t="shared" si="1"/>
        <v>58.333333333333336</v>
      </c>
      <c r="I5" s="7" t="str">
        <f t="shared" si="2"/>
        <v>F</v>
      </c>
      <c r="J5" s="7" t="str">
        <f t="shared" si="3"/>
        <v>fail</v>
      </c>
      <c r="K5" s="7"/>
      <c r="L5" s="7"/>
      <c r="M5" s="7"/>
      <c r="N5" s="7"/>
      <c r="O5" s="7"/>
      <c r="P5" s="7"/>
      <c r="Q5" s="7"/>
      <c r="R5" s="7"/>
      <c r="S5" s="7"/>
      <c r="T5" s="7"/>
      <c r="U5" s="7"/>
      <c r="V5" s="7"/>
      <c r="W5" s="7"/>
      <c r="X5" s="7"/>
      <c r="Y5" s="7"/>
    </row>
    <row r="6" spans="1:25" ht="14.4" x14ac:dyDescent="0.3">
      <c r="A6" s="8">
        <v>1005</v>
      </c>
      <c r="B6" s="8" t="s">
        <v>51</v>
      </c>
      <c r="C6" s="8">
        <v>68</v>
      </c>
      <c r="D6" s="8">
        <v>74</v>
      </c>
      <c r="E6" s="8">
        <v>84</v>
      </c>
      <c r="F6" s="9">
        <v>43821</v>
      </c>
      <c r="G6" s="7">
        <f t="shared" si="0"/>
        <v>226</v>
      </c>
      <c r="H6" s="10">
        <f t="shared" si="1"/>
        <v>75.333333333333329</v>
      </c>
      <c r="I6" s="7" t="str">
        <f t="shared" si="2"/>
        <v>C</v>
      </c>
      <c r="J6" s="7" t="str">
        <f t="shared" si="3"/>
        <v>fail</v>
      </c>
      <c r="K6" s="7"/>
      <c r="L6" s="15" t="s">
        <v>139</v>
      </c>
      <c r="M6" s="15"/>
      <c r="N6" s="15"/>
      <c r="O6" s="15"/>
      <c r="P6" s="7"/>
      <c r="Q6" s="7"/>
      <c r="R6" s="7"/>
      <c r="S6" s="7"/>
      <c r="T6" s="7"/>
      <c r="U6" s="7"/>
      <c r="V6" s="7"/>
      <c r="W6" s="7"/>
      <c r="X6" s="7"/>
      <c r="Y6" s="7"/>
    </row>
    <row r="7" spans="1:25" ht="14.4" x14ac:dyDescent="0.3">
      <c r="A7" s="8">
        <v>1006</v>
      </c>
      <c r="B7" s="8" t="s">
        <v>52</v>
      </c>
      <c r="C7" s="8">
        <v>80</v>
      </c>
      <c r="D7" s="8">
        <v>70</v>
      </c>
      <c r="E7" s="8">
        <v>65</v>
      </c>
      <c r="F7" s="9">
        <v>44001</v>
      </c>
      <c r="G7" s="7">
        <f t="shared" si="0"/>
        <v>215</v>
      </c>
      <c r="H7" s="10">
        <f t="shared" si="1"/>
        <v>71.666666666666671</v>
      </c>
      <c r="I7" s="7" t="str">
        <f t="shared" si="2"/>
        <v>C</v>
      </c>
      <c r="J7" s="7" t="str">
        <f t="shared" si="3"/>
        <v>fail</v>
      </c>
      <c r="K7" s="7"/>
      <c r="L7" s="15"/>
      <c r="M7" s="15"/>
      <c r="N7" s="15"/>
      <c r="O7" s="15"/>
      <c r="P7" s="7"/>
      <c r="Q7" s="7"/>
      <c r="R7" s="7"/>
      <c r="S7" s="7"/>
      <c r="T7" s="7"/>
      <c r="U7" s="7"/>
      <c r="V7" s="7"/>
      <c r="W7" s="7"/>
      <c r="X7" s="7"/>
      <c r="Y7" s="7"/>
    </row>
    <row r="8" spans="1:25" ht="14.4" x14ac:dyDescent="0.3">
      <c r="A8" s="8">
        <v>1007</v>
      </c>
      <c r="B8" s="8" t="s">
        <v>53</v>
      </c>
      <c r="C8" s="8">
        <v>75</v>
      </c>
      <c r="D8" s="8">
        <v>47</v>
      </c>
      <c r="E8" s="8">
        <v>78</v>
      </c>
      <c r="F8" s="9">
        <v>44181</v>
      </c>
      <c r="G8" s="7">
        <f t="shared" si="0"/>
        <v>200</v>
      </c>
      <c r="H8" s="10">
        <f t="shared" si="1"/>
        <v>66.666666666666671</v>
      </c>
      <c r="I8" s="7" t="str">
        <f t="shared" si="2"/>
        <v>D</v>
      </c>
      <c r="J8" s="7" t="str">
        <f t="shared" si="3"/>
        <v>fail</v>
      </c>
      <c r="K8" s="7"/>
      <c r="L8" s="16" t="s">
        <v>140</v>
      </c>
      <c r="M8" s="17" t="s">
        <v>42</v>
      </c>
      <c r="N8" s="7"/>
      <c r="O8" s="7"/>
      <c r="P8" s="7"/>
      <c r="Q8" s="7"/>
      <c r="R8" s="7"/>
      <c r="S8" s="7"/>
      <c r="T8" s="7"/>
      <c r="U8" s="7"/>
      <c r="V8" s="7"/>
      <c r="W8" s="7"/>
      <c r="X8" s="7"/>
      <c r="Y8" s="7"/>
    </row>
    <row r="9" spans="1:25" ht="14.4" x14ac:dyDescent="0.3">
      <c r="A9" s="8">
        <v>1008</v>
      </c>
      <c r="B9" s="8" t="s">
        <v>54</v>
      </c>
      <c r="C9" s="8">
        <v>94</v>
      </c>
      <c r="D9" s="8">
        <v>67</v>
      </c>
      <c r="E9" s="8">
        <v>64</v>
      </c>
      <c r="F9" s="9">
        <v>44361</v>
      </c>
      <c r="G9" s="7">
        <f t="shared" si="0"/>
        <v>225</v>
      </c>
      <c r="H9" s="10">
        <f t="shared" si="1"/>
        <v>75</v>
      </c>
      <c r="I9" s="7" t="str">
        <f t="shared" si="2"/>
        <v>C</v>
      </c>
      <c r="J9" s="7" t="str">
        <f t="shared" si="3"/>
        <v>fail</v>
      </c>
      <c r="K9" s="7"/>
      <c r="L9" s="18">
        <v>1004</v>
      </c>
      <c r="M9" s="19" t="str">
        <f>VLOOKUP(L9,A2:B21,2,0)</f>
        <v>Student 4</v>
      </c>
      <c r="N9" s="7"/>
      <c r="O9" s="7"/>
      <c r="P9" s="7"/>
      <c r="Q9" s="7"/>
      <c r="R9" s="7"/>
      <c r="S9" s="7"/>
      <c r="T9" s="7"/>
      <c r="U9" s="7"/>
      <c r="V9" s="7"/>
      <c r="W9" s="7"/>
      <c r="X9" s="7"/>
      <c r="Y9" s="7"/>
    </row>
    <row r="10" spans="1:25" ht="14.4" x14ac:dyDescent="0.3">
      <c r="A10" s="8">
        <v>1009</v>
      </c>
      <c r="B10" s="8" t="s">
        <v>55</v>
      </c>
      <c r="C10" s="8">
        <v>41</v>
      </c>
      <c r="D10" s="8">
        <v>75</v>
      </c>
      <c r="E10" s="8">
        <v>56</v>
      </c>
      <c r="F10" s="9">
        <v>44541</v>
      </c>
      <c r="G10" s="7">
        <f t="shared" si="0"/>
        <v>172</v>
      </c>
      <c r="H10" s="10">
        <f t="shared" si="1"/>
        <v>57.333333333333336</v>
      </c>
      <c r="I10" s="7" t="str">
        <f t="shared" si="2"/>
        <v>F</v>
      </c>
      <c r="J10" s="7" t="str">
        <f t="shared" si="3"/>
        <v>fail</v>
      </c>
      <c r="K10" s="7"/>
      <c r="L10" s="7"/>
      <c r="M10" s="7"/>
      <c r="N10" s="7"/>
      <c r="O10" s="7"/>
      <c r="P10" s="7"/>
      <c r="Q10" s="7"/>
      <c r="R10" s="7"/>
      <c r="S10" s="7"/>
      <c r="T10" s="7"/>
      <c r="U10" s="7"/>
      <c r="V10" s="7"/>
      <c r="W10" s="7"/>
      <c r="X10" s="7"/>
      <c r="Y10" s="7"/>
    </row>
    <row r="11" spans="1:25" ht="14.4" x14ac:dyDescent="0.3">
      <c r="A11" s="8">
        <v>1010</v>
      </c>
      <c r="B11" s="8" t="s">
        <v>56</v>
      </c>
      <c r="C11" s="8">
        <v>98</v>
      </c>
      <c r="D11" s="8">
        <v>54</v>
      </c>
      <c r="E11" s="8">
        <v>58</v>
      </c>
      <c r="F11" s="9">
        <v>44721</v>
      </c>
      <c r="G11" s="7">
        <f t="shared" si="0"/>
        <v>210</v>
      </c>
      <c r="H11" s="10">
        <f t="shared" si="1"/>
        <v>70</v>
      </c>
      <c r="I11" s="7" t="str">
        <f t="shared" si="2"/>
        <v>C</v>
      </c>
      <c r="J11" s="7" t="str">
        <f t="shared" si="3"/>
        <v>fail</v>
      </c>
      <c r="K11" s="7"/>
      <c r="L11" s="21" t="s">
        <v>141</v>
      </c>
      <c r="M11" s="22"/>
      <c r="N11" s="22"/>
      <c r="O11" s="22"/>
      <c r="P11" s="25" t="s">
        <v>142</v>
      </c>
      <c r="Q11" s="26"/>
      <c r="R11" s="28" t="str">
        <f>LEFT(M9,P12)</f>
        <v>Student</v>
      </c>
      <c r="S11" s="7"/>
      <c r="T11" s="7"/>
      <c r="U11" s="7"/>
      <c r="V11" s="7"/>
      <c r="W11" s="7"/>
      <c r="X11" s="7"/>
      <c r="Y11" s="7"/>
    </row>
    <row r="12" spans="1:25" ht="14.4" x14ac:dyDescent="0.3">
      <c r="A12" s="8">
        <v>1011</v>
      </c>
      <c r="B12" s="8" t="s">
        <v>57</v>
      </c>
      <c r="C12" s="8">
        <v>73</v>
      </c>
      <c r="D12" s="8">
        <v>79</v>
      </c>
      <c r="E12" s="8">
        <v>53</v>
      </c>
      <c r="F12" s="9">
        <v>44901</v>
      </c>
      <c r="G12" s="7">
        <f t="shared" si="0"/>
        <v>205</v>
      </c>
      <c r="H12" s="10">
        <f t="shared" si="1"/>
        <v>68.333333333333329</v>
      </c>
      <c r="I12" s="7" t="str">
        <f t="shared" si="2"/>
        <v>D</v>
      </c>
      <c r="J12" s="7" t="str">
        <f t="shared" si="3"/>
        <v>fail</v>
      </c>
      <c r="K12" s="7"/>
      <c r="L12" s="22"/>
      <c r="M12" s="22"/>
      <c r="N12" s="22"/>
      <c r="O12" s="22"/>
      <c r="P12" s="27">
        <v>7</v>
      </c>
      <c r="Q12" s="7"/>
      <c r="R12" s="7"/>
      <c r="S12" s="7"/>
      <c r="T12" s="7"/>
      <c r="U12" s="7"/>
      <c r="V12" s="7"/>
      <c r="W12" s="7"/>
      <c r="X12" s="7"/>
      <c r="Y12" s="7"/>
    </row>
    <row r="13" spans="1:25" ht="14.4" x14ac:dyDescent="0.3">
      <c r="A13" s="8">
        <v>1012</v>
      </c>
      <c r="B13" s="8" t="s">
        <v>58</v>
      </c>
      <c r="C13" s="8">
        <v>85</v>
      </c>
      <c r="D13" s="8">
        <v>89</v>
      </c>
      <c r="E13" s="8">
        <v>79</v>
      </c>
      <c r="F13" s="9">
        <v>45081</v>
      </c>
      <c r="G13" s="7">
        <f t="shared" si="0"/>
        <v>253</v>
      </c>
      <c r="H13" s="10">
        <f t="shared" si="1"/>
        <v>84.333333333333329</v>
      </c>
      <c r="I13" s="7" t="str">
        <f t="shared" si="2"/>
        <v>B</v>
      </c>
      <c r="J13" s="7" t="str">
        <f t="shared" si="3"/>
        <v>pass</v>
      </c>
      <c r="K13" s="7"/>
      <c r="L13" s="7"/>
      <c r="M13" s="7"/>
      <c r="N13" s="7"/>
      <c r="O13" s="7"/>
      <c r="P13" s="7"/>
      <c r="Q13" s="7"/>
      <c r="R13" s="7"/>
      <c r="S13" s="7"/>
      <c r="T13" s="7"/>
      <c r="U13" s="7"/>
      <c r="V13" s="7"/>
      <c r="W13" s="7"/>
      <c r="X13" s="7"/>
      <c r="Y13" s="7"/>
    </row>
    <row r="14" spans="1:25" ht="14.4" x14ac:dyDescent="0.3">
      <c r="A14" s="8">
        <v>1013</v>
      </c>
      <c r="B14" s="8" t="s">
        <v>59</v>
      </c>
      <c r="C14" s="8">
        <v>98</v>
      </c>
      <c r="D14" s="8">
        <v>90</v>
      </c>
      <c r="E14" s="8">
        <v>97</v>
      </c>
      <c r="F14" s="9">
        <v>45261</v>
      </c>
      <c r="G14" s="7">
        <f t="shared" si="0"/>
        <v>285</v>
      </c>
      <c r="H14" s="10">
        <f t="shared" si="1"/>
        <v>95</v>
      </c>
      <c r="I14" s="7" t="str">
        <f t="shared" si="2"/>
        <v>A</v>
      </c>
      <c r="J14" s="7" t="str">
        <f t="shared" si="3"/>
        <v>pass</v>
      </c>
      <c r="K14" s="7"/>
      <c r="L14" s="23" t="s">
        <v>143</v>
      </c>
      <c r="M14" s="24"/>
      <c r="N14" s="24"/>
      <c r="O14" s="25" t="s">
        <v>144</v>
      </c>
      <c r="P14" s="26"/>
      <c r="Q14" s="29">
        <f>FIND(O15,M9)</f>
        <v>4</v>
      </c>
      <c r="R14" s="7"/>
      <c r="S14" s="7"/>
      <c r="T14" s="7"/>
      <c r="U14" s="7"/>
      <c r="V14" s="7"/>
      <c r="W14" s="7"/>
      <c r="X14" s="7"/>
      <c r="Y14" s="7"/>
    </row>
    <row r="15" spans="1:25" ht="14.4" x14ac:dyDescent="0.3">
      <c r="A15" s="8">
        <v>1014</v>
      </c>
      <c r="B15" s="8" t="s">
        <v>60</v>
      </c>
      <c r="C15" s="8">
        <v>93</v>
      </c>
      <c r="D15" s="8">
        <v>40</v>
      </c>
      <c r="E15" s="8">
        <v>44</v>
      </c>
      <c r="F15" s="9">
        <v>45441</v>
      </c>
      <c r="G15" s="7">
        <f t="shared" si="0"/>
        <v>177</v>
      </c>
      <c r="H15" s="10">
        <f t="shared" si="1"/>
        <v>59</v>
      </c>
      <c r="I15" s="7" t="str">
        <f t="shared" si="2"/>
        <v>F</v>
      </c>
      <c r="J15" s="7" t="str">
        <f t="shared" si="3"/>
        <v>fail</v>
      </c>
      <c r="K15" s="7"/>
      <c r="L15" s="24"/>
      <c r="M15" s="24"/>
      <c r="N15" s="24"/>
      <c r="O15" s="30" t="s">
        <v>145</v>
      </c>
      <c r="P15" s="7"/>
      <c r="Q15" s="7"/>
      <c r="R15" s="7"/>
      <c r="S15" s="7"/>
      <c r="T15" s="7"/>
      <c r="U15" s="7"/>
      <c r="V15" s="7"/>
      <c r="W15" s="7"/>
      <c r="X15" s="7"/>
      <c r="Y15" s="7"/>
    </row>
    <row r="16" spans="1:25" ht="14.4" x14ac:dyDescent="0.3">
      <c r="A16" s="8">
        <v>1015</v>
      </c>
      <c r="B16" s="8" t="s">
        <v>61</v>
      </c>
      <c r="C16" s="8">
        <v>70</v>
      </c>
      <c r="D16" s="8">
        <v>51</v>
      </c>
      <c r="E16" s="8">
        <v>75</v>
      </c>
      <c r="F16" s="9">
        <v>45621</v>
      </c>
      <c r="G16" s="7">
        <f t="shared" si="0"/>
        <v>196</v>
      </c>
      <c r="H16" s="10">
        <f t="shared" si="1"/>
        <v>65.333333333333329</v>
      </c>
      <c r="I16" s="7" t="str">
        <f t="shared" si="2"/>
        <v>D</v>
      </c>
      <c r="J16" s="7" t="str">
        <f t="shared" si="3"/>
        <v>fail</v>
      </c>
      <c r="K16" s="7"/>
      <c r="L16" s="7"/>
      <c r="M16" s="7"/>
      <c r="N16" s="7"/>
      <c r="O16" s="7"/>
      <c r="P16" s="7"/>
      <c r="Q16" s="7"/>
      <c r="R16" s="7"/>
      <c r="S16" s="7"/>
      <c r="T16" s="7"/>
      <c r="U16" s="7"/>
      <c r="V16" s="7"/>
      <c r="W16" s="7"/>
      <c r="X16" s="7"/>
      <c r="Y16" s="7"/>
    </row>
    <row r="17" spans="1:25" ht="14.4" x14ac:dyDescent="0.3">
      <c r="A17" s="8">
        <v>1016</v>
      </c>
      <c r="B17" s="8" t="s">
        <v>62</v>
      </c>
      <c r="C17" s="8">
        <v>98</v>
      </c>
      <c r="D17" s="8">
        <v>77</v>
      </c>
      <c r="E17" s="8">
        <v>60</v>
      </c>
      <c r="F17" s="9">
        <v>45801</v>
      </c>
      <c r="G17" s="7">
        <f t="shared" si="0"/>
        <v>235</v>
      </c>
      <c r="H17" s="10">
        <f t="shared" si="1"/>
        <v>78.333333333333329</v>
      </c>
      <c r="I17" s="7" t="str">
        <f t="shared" si="2"/>
        <v>C</v>
      </c>
      <c r="J17" s="7" t="str">
        <f t="shared" si="3"/>
        <v>fail</v>
      </c>
      <c r="K17" s="7"/>
      <c r="L17" s="21" t="s">
        <v>146</v>
      </c>
      <c r="M17" s="22"/>
      <c r="N17" s="22"/>
      <c r="O17" s="22"/>
      <c r="P17" s="31" t="str">
        <f>UPPER(M9)</f>
        <v>STUDENT 4</v>
      </c>
      <c r="Q17" s="7"/>
      <c r="R17" s="7"/>
      <c r="S17" s="7"/>
      <c r="T17" s="7"/>
      <c r="U17" s="7"/>
      <c r="V17" s="7"/>
      <c r="W17" s="7"/>
      <c r="X17" s="7"/>
      <c r="Y17" s="7"/>
    </row>
    <row r="18" spans="1:25" ht="14.4" x14ac:dyDescent="0.3">
      <c r="A18" s="8">
        <v>1017</v>
      </c>
      <c r="B18" s="8" t="s">
        <v>63</v>
      </c>
      <c r="C18" s="8">
        <v>66</v>
      </c>
      <c r="D18" s="8">
        <v>59</v>
      </c>
      <c r="E18" s="8">
        <v>40</v>
      </c>
      <c r="F18" s="9">
        <v>45981</v>
      </c>
      <c r="G18" s="7">
        <f t="shared" si="0"/>
        <v>165</v>
      </c>
      <c r="H18" s="10">
        <f t="shared" si="1"/>
        <v>55</v>
      </c>
      <c r="I18" s="7" t="str">
        <f t="shared" si="2"/>
        <v>F</v>
      </c>
      <c r="J18" s="7" t="str">
        <f t="shared" si="3"/>
        <v>fail</v>
      </c>
      <c r="K18" s="7"/>
      <c r="L18" s="22"/>
      <c r="M18" s="22"/>
      <c r="N18" s="22"/>
      <c r="O18" s="22"/>
      <c r="P18" s="32" t="str">
        <f>LOWER(M9)</f>
        <v>student 4</v>
      </c>
      <c r="Q18" s="7"/>
      <c r="R18" s="7"/>
      <c r="S18" s="7"/>
      <c r="T18" s="7"/>
      <c r="U18" s="7"/>
      <c r="V18" s="7"/>
      <c r="W18" s="7"/>
      <c r="X18" s="7"/>
      <c r="Y18" s="7"/>
    </row>
    <row r="19" spans="1:25" ht="14.4" x14ac:dyDescent="0.3">
      <c r="A19" s="8">
        <v>1018</v>
      </c>
      <c r="B19" s="8" t="s">
        <v>64</v>
      </c>
      <c r="C19" s="8">
        <v>82</v>
      </c>
      <c r="D19" s="8">
        <v>48</v>
      </c>
      <c r="E19" s="8">
        <v>79</v>
      </c>
      <c r="F19" s="9">
        <v>46161</v>
      </c>
      <c r="G19" s="7">
        <f t="shared" si="0"/>
        <v>209</v>
      </c>
      <c r="H19" s="10">
        <f t="shared" si="1"/>
        <v>69.666666666666671</v>
      </c>
      <c r="I19" s="7" t="str">
        <f t="shared" si="2"/>
        <v>D</v>
      </c>
      <c r="J19" s="7" t="str">
        <f t="shared" si="3"/>
        <v>fail</v>
      </c>
      <c r="K19" s="7"/>
      <c r="L19" s="7"/>
      <c r="M19" s="7"/>
      <c r="N19" s="7"/>
      <c r="O19" s="7"/>
      <c r="P19" s="7"/>
      <c r="Q19" s="7"/>
      <c r="R19" s="7"/>
      <c r="S19" s="7"/>
      <c r="T19" s="7"/>
      <c r="U19" s="7"/>
      <c r="V19" s="7"/>
      <c r="W19" s="7"/>
      <c r="X19" s="7"/>
      <c r="Y19" s="7"/>
    </row>
    <row r="20" spans="1:25" ht="14.4" x14ac:dyDescent="0.3">
      <c r="A20" s="8">
        <v>1019</v>
      </c>
      <c r="B20" s="8" t="s">
        <v>65</v>
      </c>
      <c r="C20" s="8">
        <v>90</v>
      </c>
      <c r="D20" s="8">
        <v>78</v>
      </c>
      <c r="E20" s="8">
        <v>60</v>
      </c>
      <c r="F20" s="9">
        <v>46341</v>
      </c>
      <c r="G20" s="7">
        <f t="shared" si="0"/>
        <v>228</v>
      </c>
      <c r="H20" s="10">
        <f t="shared" si="1"/>
        <v>76</v>
      </c>
      <c r="I20" s="7" t="str">
        <f t="shared" si="2"/>
        <v>C</v>
      </c>
      <c r="J20" s="7" t="str">
        <f t="shared" si="3"/>
        <v>fail</v>
      </c>
      <c r="K20" s="7"/>
      <c r="L20" s="33" t="s">
        <v>148</v>
      </c>
      <c r="M20" s="34"/>
      <c r="N20" s="34"/>
      <c r="O20" s="34"/>
      <c r="P20" s="7" cm="1">
        <f t="array" ref="P20:Q21">_xlfn._xlws.FILTER(A2:B21,H2:H21&gt;80)</f>
        <v>1012</v>
      </c>
      <c r="Q20" s="7" t="str">
        <v>Student 12</v>
      </c>
      <c r="R20" s="7"/>
      <c r="S20" s="7"/>
      <c r="T20" s="7"/>
      <c r="U20" s="7"/>
      <c r="V20" s="7"/>
      <c r="W20" s="7"/>
      <c r="X20" s="7"/>
      <c r="Y20" s="7"/>
    </row>
    <row r="21" spans="1:25" ht="15.75" customHeight="1" x14ac:dyDescent="0.3">
      <c r="A21" s="8">
        <v>1020</v>
      </c>
      <c r="B21" s="8" t="s">
        <v>66</v>
      </c>
      <c r="C21" s="8">
        <v>83</v>
      </c>
      <c r="D21" s="8">
        <v>92</v>
      </c>
      <c r="E21" s="8">
        <v>55</v>
      </c>
      <c r="F21" s="9">
        <v>46521</v>
      </c>
      <c r="G21" s="7">
        <f t="shared" si="0"/>
        <v>230</v>
      </c>
      <c r="H21" s="10">
        <f t="shared" si="1"/>
        <v>76.666666666666671</v>
      </c>
      <c r="I21" s="7" t="str">
        <f t="shared" si="2"/>
        <v>C</v>
      </c>
      <c r="J21" s="7" t="str">
        <f t="shared" si="3"/>
        <v>pass</v>
      </c>
      <c r="K21" s="7"/>
      <c r="L21" s="34"/>
      <c r="M21" s="34"/>
      <c r="N21" s="34"/>
      <c r="O21" s="34"/>
      <c r="P21" s="7">
        <v>1013</v>
      </c>
      <c r="Q21" s="7" t="str">
        <v>Student 13</v>
      </c>
      <c r="R21" s="7"/>
      <c r="S21" s="7"/>
      <c r="T21" s="7"/>
      <c r="U21" s="7"/>
      <c r="V21" s="7"/>
      <c r="W21" s="7"/>
      <c r="X21" s="7"/>
      <c r="Y21" s="7"/>
    </row>
    <row r="22" spans="1:25" ht="15.75" customHeight="1" x14ac:dyDescent="0.3">
      <c r="A22" s="7"/>
      <c r="B22" s="7"/>
      <c r="C22" s="7"/>
      <c r="D22" s="7"/>
      <c r="E22" s="7"/>
      <c r="F22" s="7"/>
      <c r="G22" s="7"/>
      <c r="H22" s="7"/>
      <c r="I22" s="7"/>
      <c r="J22" s="7"/>
      <c r="K22" s="7"/>
      <c r="L22" s="20" t="s">
        <v>147</v>
      </c>
      <c r="M22" s="7"/>
      <c r="N22" s="7"/>
      <c r="O22" s="7"/>
      <c r="P22" s="7"/>
      <c r="Q22" s="7"/>
      <c r="R22" s="7"/>
      <c r="S22" s="7"/>
      <c r="T22" s="7"/>
      <c r="U22" s="7"/>
      <c r="V22" s="7"/>
      <c r="W22" s="7"/>
      <c r="X22" s="7"/>
      <c r="Y22" s="7"/>
    </row>
    <row r="23" spans="1:25" ht="15.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row>
    <row r="24" spans="1:25" ht="15.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row>
    <row r="25" spans="1:25" ht="15.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row>
    <row r="26" spans="1:25" ht="15.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row>
    <row r="27" spans="1:25" ht="15.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row>
    <row r="28" spans="1:25" ht="15.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row>
    <row r="29" spans="1:25" ht="15.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row>
    <row r="30" spans="1:25" ht="15.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row>
    <row r="31" spans="1:25" ht="15.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row>
    <row r="32" spans="1:25" ht="15.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row>
    <row r="33" spans="1:25" ht="15.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row>
    <row r="34" spans="1:25" ht="15.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row>
    <row r="35" spans="1:25" ht="15.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row>
    <row r="36" spans="1:25" ht="15.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row>
    <row r="37" spans="1:25" ht="15.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row>
    <row r="38" spans="1:25" ht="15.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row>
    <row r="39" spans="1:25" ht="15.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row>
    <row r="40" spans="1:25" ht="15.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row>
    <row r="41" spans="1:25" ht="15.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row>
    <row r="42" spans="1:25" ht="15.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row>
    <row r="43" spans="1:25" ht="15.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row>
    <row r="44" spans="1:25" ht="15.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row>
    <row r="45" spans="1:25" ht="15.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row>
    <row r="46" spans="1:25" ht="15.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row>
    <row r="47" spans="1:25" ht="15.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row>
    <row r="48" spans="1:25" ht="15.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row>
    <row r="49" spans="1:25" ht="15.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row>
    <row r="50" spans="1:25" ht="15.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row>
    <row r="51" spans="1:25" ht="15.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row>
    <row r="52" spans="1:25" ht="15.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row>
    <row r="53" spans="1:25" ht="15.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row>
    <row r="54" spans="1:25" ht="15.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row>
    <row r="55" spans="1:25" ht="15.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row>
    <row r="56" spans="1:25" ht="15.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row>
    <row r="57" spans="1:25" ht="15.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row>
    <row r="58" spans="1:25" ht="15.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row>
    <row r="59" spans="1:25" ht="15.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row>
    <row r="60" spans="1:25" ht="15.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row>
    <row r="61" spans="1:25" ht="15.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row>
    <row r="62" spans="1:25" ht="15.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row>
    <row r="63" spans="1:25" ht="15.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row>
    <row r="64" spans="1:25" ht="15.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row>
    <row r="65" spans="1:25" ht="15.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row>
    <row r="66" spans="1:25" ht="15.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row>
    <row r="67" spans="1:25" ht="15.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row>
    <row r="68" spans="1:25" ht="15.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row>
    <row r="69" spans="1:25" ht="15.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row>
    <row r="70" spans="1:25" ht="15.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row>
    <row r="71" spans="1:25" ht="15.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row>
    <row r="72" spans="1:25" ht="15.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row>
    <row r="73" spans="1:25" ht="15.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row>
    <row r="74" spans="1:25" ht="15.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row>
    <row r="75" spans="1:25" ht="15.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row>
    <row r="76" spans="1:25" ht="15.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row>
    <row r="77" spans="1:25" ht="15.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row>
    <row r="78" spans="1:25" ht="15.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row>
    <row r="79" spans="1:25" ht="15.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row>
    <row r="80" spans="1:25" ht="15.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row>
    <row r="81" spans="1:25" ht="15.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row>
    <row r="82" spans="1:25" ht="15.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row>
    <row r="83" spans="1:25" ht="15.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row>
    <row r="84" spans="1:25" ht="15.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row>
    <row r="85" spans="1:25" ht="15.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row>
    <row r="86" spans="1:25" ht="15.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row>
    <row r="87" spans="1:25" ht="15.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row>
    <row r="88" spans="1:25" ht="15.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row>
    <row r="89" spans="1:25" ht="15.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row>
    <row r="90" spans="1:25" ht="15.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row>
    <row r="91" spans="1:25" ht="15.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row>
    <row r="92" spans="1:25" ht="15.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row>
    <row r="93" spans="1:25" ht="15.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row>
    <row r="94" spans="1:25" ht="15.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row>
    <row r="95" spans="1:25" ht="15.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row>
    <row r="96" spans="1:25" ht="15.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row>
    <row r="97" spans="1:25" ht="15.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row>
    <row r="98" spans="1:25" ht="15.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row>
    <row r="99" spans="1:25" ht="15.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row>
    <row r="100" spans="1:25" ht="15.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5.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5.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5.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5.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5.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5.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5.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5.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5.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5.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5.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5.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5.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5.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5.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5.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5.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5.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5.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5.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5.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5.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5.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5.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5.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5.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5.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5.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5.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5.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5.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5.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5.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5.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5.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5.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5.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5.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5.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5.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5.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5.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5.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5.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5.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5.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5.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5.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5.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5.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5.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5.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5.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5.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5.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5.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5.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5.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5.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5.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5.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5.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5.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5.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5.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5.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5.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5.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5.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5.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5.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5.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5.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5.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5.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5.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5.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5.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5.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5.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5.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5.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5.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5.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5.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5.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5.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5.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5.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5.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5.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5.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5.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5.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5.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5.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5.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5.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5.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5.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5.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5.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5.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5.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5.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5.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5.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5.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5.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5.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5.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5.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5.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5.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5.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5.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5.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5.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5.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5.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5.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5.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5.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5.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5.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5.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5.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5.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5.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5.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5.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5.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spans="1:25" ht="15.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spans="1:25" ht="15.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spans="1:25" ht="15.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spans="1:25" ht="15.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spans="1:25" ht="15.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spans="1:25" ht="15.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spans="1:25" ht="15.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spans="1:25" ht="15.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spans="1:25" ht="15.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spans="1:25" ht="15.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spans="1:25" ht="15.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spans="1:25" ht="15.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spans="1:25" ht="15.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spans="1:25" ht="15.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spans="1:25" ht="15.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spans="1:25" ht="15.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spans="1:25" ht="15.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spans="1:25" ht="15.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spans="1:25" ht="15.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spans="1:25" ht="15.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spans="1:25" ht="15.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spans="1:25" ht="15.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spans="1:25" ht="15.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spans="1:25" ht="15.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spans="1:25" ht="15.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spans="1:25" ht="15.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spans="1:25" ht="15.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spans="1:25" ht="15.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spans="1:25" ht="15.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spans="1:25" ht="15.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spans="1:25" ht="15.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spans="1:25" ht="15.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spans="1:25" ht="15.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spans="1:25" ht="15.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spans="1:25" ht="15.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spans="1:25" ht="15.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spans="1:25" ht="15.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spans="1:25" ht="15.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spans="1:25" ht="15.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spans="1:25" ht="15.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spans="1:25" ht="15.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spans="1:25" ht="15.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spans="1:25" ht="15.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spans="1:25" ht="15.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spans="1:25" ht="15.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spans="1:25" ht="15.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spans="1:25" ht="15.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spans="1:25" ht="15.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spans="1:25" ht="15.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spans="1:25" ht="15.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spans="1:25" ht="15.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spans="1:25" ht="15.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spans="1:25" ht="15.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spans="1:25" ht="15.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spans="1:25" ht="15.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spans="1:25" ht="15.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spans="1:25" ht="15.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spans="1:25" ht="15.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spans="1:25" ht="15.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spans="1:25" ht="15.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spans="1:25" ht="15.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spans="1:25" ht="15.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spans="1:25" ht="15.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spans="1:25" ht="15.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spans="1:25" ht="15.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spans="1:25" ht="15.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spans="1:25" ht="15.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spans="1:25" ht="15.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spans="1:25" ht="15.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spans="1:25" ht="15.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spans="1:25" ht="15.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spans="1:25" ht="15.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spans="1:25" ht="15.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spans="1:25" ht="15.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15.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spans="1:25" ht="15.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spans="1:25" ht="15.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spans="1:25" ht="15.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15.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spans="1:25" ht="15.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spans="1:25" ht="15.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spans="1:25" ht="15.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spans="1:25" ht="15.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spans="1:25" ht="15.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spans="1:25" ht="15.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spans="1:25" ht="15.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spans="1:25" ht="15.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spans="1:25" ht="15.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spans="1:25" ht="15.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spans="1:25" ht="15.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spans="1:25" ht="15.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spans="1:25" ht="15.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spans="1:25" ht="15.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spans="1:25" ht="15.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spans="1:25" ht="15.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spans="1:25" ht="15.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spans="1:25" ht="15.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spans="1:25" ht="15.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spans="1:25" ht="15.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spans="1:25" ht="15.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spans="1:25" ht="15.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spans="1:25" ht="15.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spans="1:25" ht="15.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spans="1:25" ht="15.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spans="1:25" ht="15.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spans="1:25" ht="15.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spans="1:25" ht="15.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spans="1:25" ht="15.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spans="1:25" ht="15.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spans="1:25" ht="15.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spans="1:25" ht="15.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spans="1:25" ht="15.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spans="1:25" ht="15.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spans="1:25" ht="15.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spans="1:25" ht="15.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spans="1:25" ht="15.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spans="1:25" ht="15.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spans="1:25" ht="15.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spans="1:25" ht="15.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spans="1:25" ht="15.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spans="1:25" ht="15.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spans="1:25" ht="15.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spans="1:25" ht="15.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spans="1:25" ht="15.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spans="1:25" ht="15.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spans="1:25" ht="15.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spans="1:25" ht="15.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spans="1:25" ht="15.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spans="1:25" ht="15.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spans="1:25" ht="15.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spans="1:25" ht="15.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spans="1:25" ht="15.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spans="1:25" ht="15.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spans="1:25" ht="15.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spans="1:25" ht="15.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spans="1:25" ht="15.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spans="1:25" ht="15.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spans="1:25" ht="15.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spans="1:25" ht="15.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spans="1:25" ht="15.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spans="1:25" ht="15.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spans="1:25" ht="15.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spans="1:25" ht="15.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spans="1:25" ht="15.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spans="1:25" ht="15.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spans="1:25" ht="15.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spans="1:25" ht="15.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spans="1:25" ht="15.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spans="1:25" ht="15.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spans="1:25" ht="15.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spans="1:25" ht="15.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spans="1:25" ht="15.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spans="1:25" ht="15.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spans="1:25" ht="15.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spans="1:25" ht="15.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spans="1:25" ht="15.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spans="1:25" ht="15.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spans="1:25" ht="15.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spans="1:25" ht="15.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spans="1:25" ht="15.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spans="1:25" ht="15.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spans="1:25" ht="15.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spans="1:25" ht="15.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spans="1:25" ht="15.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spans="1:25" ht="15.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spans="1:25" ht="15.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spans="1:25" ht="15.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spans="1:25" ht="15.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spans="1:25" ht="15.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spans="1:25" ht="15.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spans="1:25" ht="15.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spans="1:25" ht="15.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spans="1:25" ht="15.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spans="1:25" ht="15.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spans="1:25" ht="15.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spans="1:25" ht="15.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spans="1:25" ht="15.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spans="1:25" ht="15.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spans="1:25" ht="15.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spans="1:25" ht="15.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spans="1:25" ht="15.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spans="1:25" ht="15.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spans="1:25" ht="15.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spans="1:25" ht="15.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spans="1:25" ht="15.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spans="1:25" ht="15.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spans="1:25" ht="15.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spans="1:25" ht="15.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spans="1:25" ht="15.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spans="1:25" ht="15.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spans="1:25" ht="15.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spans="1:25" ht="15.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spans="1:25" ht="15.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spans="1:25" ht="15.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spans="1:25" ht="15.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spans="1:25" ht="15.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spans="1:25" ht="15.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spans="1:25" ht="15.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spans="1:25" ht="15.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spans="1:25" ht="15.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spans="1:25" ht="15.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spans="1:25" ht="15.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spans="1:25" ht="15.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spans="1:25" ht="15.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spans="1:25" ht="15.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spans="1:25" ht="15.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spans="1:25" ht="15.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spans="1:25" ht="15.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spans="1:25" ht="15.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spans="1:25" ht="15.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spans="1:25" ht="15.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spans="1:25" ht="15.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spans="1:25" ht="15.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spans="1:25" ht="15.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spans="1:25" ht="15.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spans="1:25" ht="15.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spans="1:25" ht="15.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spans="1:25" ht="15.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spans="1:25" ht="15.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spans="1:25" ht="15.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spans="1:25" ht="15.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spans="1:25" ht="15.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spans="1:25" ht="15.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spans="1:25" ht="15.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spans="1:25" ht="15.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spans="1:25" ht="15.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spans="1:25" ht="15.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spans="1:25" ht="15.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spans="1:25" ht="15.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spans="1:25" ht="15.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spans="1:25" ht="15.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spans="1:25" ht="15.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spans="1:25" ht="15.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spans="1:25" ht="15.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spans="1:25" ht="15.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spans="1:25" ht="15.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spans="1:25" ht="15.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spans="1:25" ht="15.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spans="1:25" ht="15.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spans="1:25" ht="15.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spans="1:25" ht="15.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spans="1:25" ht="15.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spans="1:25" ht="15.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spans="1:25" ht="15.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spans="1:25" ht="15.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spans="1:25" ht="15.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spans="1:25" ht="15.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spans="1:25" ht="15.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spans="1:25" ht="15.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spans="1:25" ht="15.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spans="1:25" ht="15.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spans="1:25" ht="15.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spans="1:25" ht="15.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spans="1:25" ht="15.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spans="1:25" ht="15.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spans="1:25" ht="15.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spans="1:25" ht="15.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spans="1:25" ht="15.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spans="1:25" ht="15.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spans="1:25" ht="15.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spans="1:25" ht="15.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spans="1:25" ht="15.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spans="1:25" ht="15.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spans="1:25" ht="15.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spans="1:25" ht="15.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spans="1:25" ht="15.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spans="1:25" ht="15.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spans="1:25" ht="15.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spans="1:25" ht="15.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spans="1:25" ht="15.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spans="1:25" ht="15.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spans="1:25" ht="15.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spans="1:25" ht="15.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spans="1:25" ht="15.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spans="1:25" ht="15.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spans="1:25" ht="15.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spans="1:25" ht="15.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spans="1:25" ht="15.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spans="1:25" ht="15.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spans="1:25" ht="15.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spans="1:25" ht="15.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spans="1:25" ht="15.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spans="1:25" ht="15.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spans="1:25" ht="15.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spans="1:25" ht="15.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spans="1:25" ht="15.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spans="1:25" ht="15.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spans="1:25" ht="15.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spans="1:25" ht="15.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spans="1:25" ht="15.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spans="1:25" ht="15.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spans="1:25" ht="15.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spans="1:25" ht="15.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spans="1:25" ht="15.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spans="1:25" ht="15.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spans="1:25" ht="15.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spans="1:25" ht="15.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spans="1:25" ht="15.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spans="1:25" ht="15.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spans="1:25" ht="15.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spans="1:25" ht="15.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spans="1:25" ht="15.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spans="1:25" ht="15.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spans="1:25" ht="15.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spans="1:25" ht="15.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spans="1:25" ht="15.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spans="1:25" ht="15.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spans="1:25" ht="15.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spans="1:25" ht="15.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spans="1:25" ht="15.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spans="1:25" ht="15.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spans="1:25" ht="15.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spans="1:25" ht="15.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spans="1:25" ht="15.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spans="1:25" ht="15.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spans="1:25" ht="15.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spans="1:25" ht="15.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spans="1:25" ht="15.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spans="1:25" ht="15.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spans="1:25" ht="15.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spans="1:25" ht="15.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spans="1:25" ht="15.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spans="1:25" ht="15.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ht="15.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spans="1:25" ht="15.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spans="1:25" ht="15.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spans="1:25" ht="15.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spans="1:25" ht="15.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spans="1:25" ht="15.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spans="1:25" ht="15.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spans="1:25" ht="15.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spans="1:25" ht="15.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spans="1:25" ht="15.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spans="1:25" ht="15.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spans="1:25" ht="15.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spans="1:25" ht="15.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spans="1:25" ht="15.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spans="1:25" ht="15.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spans="1:25" ht="15.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spans="1:25" ht="15.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spans="1:25" ht="15.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spans="1:25" ht="15.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spans="1:25" ht="15.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spans="1:25" ht="15.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spans="1:25" ht="15.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spans="1:25" ht="15.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ht="15.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spans="1:25" ht="15.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spans="1:25" ht="15.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spans="1:25" ht="15.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spans="1:25" ht="15.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spans="1:25" ht="15.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spans="1:25" ht="15.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spans="1:25" ht="15.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spans="1:25" ht="15.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spans="1:25" ht="15.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spans="1:25" ht="15.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spans="1:25" ht="15.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spans="1:25" ht="15.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spans="1:25" ht="15.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spans="1:25" ht="15.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spans="1:25" ht="15.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spans="1:25" ht="15.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spans="1:25" ht="15.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spans="1:25" ht="15.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spans="1:25" ht="15.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ht="15.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spans="1:25" ht="15.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spans="1:25" ht="15.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spans="1:25" ht="15.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ht="15.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ht="15.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ht="15.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ht="15.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15.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ht="15.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ht="15.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ht="15.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ht="15.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ht="15.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ht="15.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ht="15.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ht="15.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ht="15.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ht="15.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ht="15.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ht="15.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ht="15.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ht="15.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ht="15.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ht="15.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ht="15.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ht="15.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ht="15.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ht="15.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ht="15.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ht="15.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ht="15.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ht="15.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ht="15.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ht="15.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ht="15.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ht="15.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ht="15.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ht="15.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ht="15.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ht="15.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ht="15.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ht="15.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ht="15.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ht="15.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ht="15.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ht="15.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ht="15.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ht="15.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ht="15.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ht="15.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ht="15.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ht="15.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ht="15.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ht="15.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ht="15.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ht="15.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ht="15.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ht="15.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ht="15.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ht="15.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ht="15.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ht="15.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ht="15.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ht="15.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ht="15.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ht="15.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ht="15.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ht="15.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ht="15.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ht="15.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ht="15.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ht="15.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ht="15.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ht="15.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ht="15.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ht="15.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ht="15.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ht="15.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ht="15.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ht="15.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ht="15.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ht="15.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ht="15.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ht="15.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ht="15.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ht="15.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ht="15.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ht="15.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ht="15.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ht="15.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ht="15.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ht="15.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ht="15.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ht="15.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ht="15.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ht="15.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ht="15.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ht="15.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ht="15.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ht="15.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ht="15.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ht="15.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ht="15.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ht="15.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ht="15.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ht="15.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ht="15.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ht="15.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ht="15.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ht="15.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ht="15.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ht="15.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ht="15.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ht="15.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ht="15.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ht="15.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ht="15.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ht="15.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ht="15.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ht="15.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ht="15.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ht="15.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ht="15.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ht="15.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ht="15.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ht="15.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ht="15.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ht="15.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ht="15.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ht="15.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ht="15.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ht="15.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ht="15.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ht="15.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ht="15.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ht="15.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ht="15.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ht="15.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ht="15.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ht="15.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ht="15.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ht="15.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ht="15.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ht="15.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ht="15.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ht="15.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ht="15.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ht="15.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ht="15.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ht="15.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ht="15.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ht="15.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ht="15.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ht="15.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ht="15.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ht="15.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ht="15.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ht="15.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ht="15.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ht="15.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ht="15.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ht="15.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ht="15.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ht="15.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ht="15.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ht="15.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ht="15.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ht="15.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ht="15.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ht="15.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ht="15.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ht="15.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ht="15.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ht="15.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ht="15.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ht="15.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ht="15.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ht="15.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ht="15.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ht="15.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ht="15.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ht="15.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ht="15.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ht="15.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ht="15.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ht="15.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ht="15.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ht="15.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ht="15.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ht="15.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ht="15.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ht="15.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ht="15.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ht="15.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ht="15.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ht="15.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ht="15.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ht="15.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ht="15.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ht="15.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ht="15.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ht="15.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ht="15.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ht="15.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ht="15.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ht="15.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ht="15.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ht="15.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ht="15.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ht="15.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ht="15.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ht="15.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ht="15.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ht="15.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ht="15.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ht="15.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ht="15.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ht="15.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ht="15.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ht="15.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ht="15.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ht="15.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ht="15.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ht="15.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ht="15.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ht="15.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ht="15.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ht="15.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ht="15.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ht="15.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ht="15.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ht="15.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ht="15.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ht="15.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ht="15.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ht="15.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ht="15.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ht="15.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ht="15.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ht="15.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ht="15.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ht="15.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ht="15.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ht="15.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ht="15.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ht="15.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ht="15.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ht="15.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ht="15.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ht="15.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ht="15.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ht="15.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ht="15.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ht="15.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ht="15.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ht="15.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ht="15.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ht="15.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ht="15.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ht="15.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ht="15.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ht="15.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ht="15.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ht="15.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ht="15.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ht="15.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ht="15.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ht="15.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ht="15.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ht="15.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ht="15.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ht="15.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ht="15.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ht="15.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ht="15.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ht="15.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ht="15.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ht="15.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ht="15.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ht="15.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ht="15.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ht="15.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ht="15.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ht="15.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ht="15.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ht="15.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ht="15.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ht="15.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ht="15.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ht="15.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ht="15.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ht="15.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ht="15.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ht="15.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ht="15.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ht="15.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ht="15.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ht="15.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ht="15.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ht="15.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ht="15.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ht="15.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ht="15.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ht="15.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ht="15.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ht="15.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ht="15.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ht="15.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ht="15.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ht="15.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ht="15.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ht="15.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ht="15.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ht="15.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ht="15.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ht="15.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ht="15.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ht="15.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ht="15.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ht="15.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ht="15.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ht="15.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ht="15.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ht="15.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ht="15.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ht="15.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ht="15.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ht="15.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ht="15.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ht="15.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ht="15.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ht="15.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ht="15.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ht="15.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ht="15.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ht="15.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ht="15.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ht="15.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ht="15.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ht="15.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ht="15.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ht="15.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ht="15.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ht="15.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ht="15.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ht="15.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ht="15.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ht="15.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ht="15.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ht="15.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ht="15.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ht="15.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ht="15.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ht="15.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ht="15.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ht="15.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ht="15.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ht="15.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ht="15.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ht="15.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ht="15.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ht="15.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ht="15.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ht="15.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ht="15.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ht="15.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ht="15.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ht="15.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ht="15.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ht="15.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ht="15.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ht="15.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ht="15.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ht="15.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ht="15.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ht="15.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ht="15.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ht="15.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ht="15.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ht="15.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ht="15.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ht="15.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ht="15.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ht="15.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ht="15.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ht="15.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ht="15.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ht="15.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ht="15.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ht="15.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ht="15.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ht="15.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ht="15.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ht="15.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ht="15.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ht="15.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ht="15.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ht="15.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ht="15.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ht="15.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spans="1:25" ht="15.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mergeCells count="9">
    <mergeCell ref="L17:O18"/>
    <mergeCell ref="L20:O21"/>
    <mergeCell ref="L1:O2"/>
    <mergeCell ref="L3:O4"/>
    <mergeCell ref="L6:O7"/>
    <mergeCell ref="L11:O12"/>
    <mergeCell ref="P11:Q11"/>
    <mergeCell ref="L14:N15"/>
    <mergeCell ref="O14:P14"/>
  </mergeCells>
  <dataValidations count="1">
    <dataValidation type="list" allowBlank="1" showInputMessage="1" showErrorMessage="1" sqref="L9" xr:uid="{758470F1-64CB-4CD2-9930-320690516FEC}">
      <formula1>$A$2:$A$21</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zoomScale="88" workbookViewId="0">
      <selection activeCell="H27" sqref="H27"/>
    </sheetView>
  </sheetViews>
  <sheetFormatPr defaultColWidth="14.44140625" defaultRowHeight="15" customHeight="1" x14ac:dyDescent="0.3"/>
  <cols>
    <col min="1" max="1" width="7.88671875" customWidth="1"/>
    <col min="2" max="2" width="9.109375" customWidth="1"/>
    <col min="3" max="3" width="7.109375" customWidth="1"/>
    <col min="4" max="4" width="11.5546875" customWidth="1"/>
    <col min="5" max="5" width="8.109375" customWidth="1"/>
    <col min="6" max="6" width="18.88671875" customWidth="1"/>
    <col min="7" max="7" width="12.33203125" bestFit="1" customWidth="1"/>
    <col min="8" max="8" width="11.109375" bestFit="1" customWidth="1"/>
    <col min="9" max="9" width="12.88671875" bestFit="1" customWidth="1"/>
    <col min="10" max="12" width="8.6640625" customWidth="1"/>
    <col min="13" max="13" width="11.77734375" bestFit="1" customWidth="1"/>
    <col min="14" max="14" width="14.6640625" bestFit="1" customWidth="1"/>
    <col min="15" max="26" width="8.6640625" customWidth="1"/>
  </cols>
  <sheetData>
    <row r="1" spans="1:26" ht="14.4" x14ac:dyDescent="0.3">
      <c r="A1" s="6" t="s">
        <v>67</v>
      </c>
      <c r="B1" s="6" t="s">
        <v>68</v>
      </c>
      <c r="C1" s="6" t="s">
        <v>69</v>
      </c>
      <c r="D1" s="6" t="s">
        <v>70</v>
      </c>
      <c r="E1" s="6" t="s">
        <v>71</v>
      </c>
      <c r="F1" s="6" t="s">
        <v>72</v>
      </c>
      <c r="G1" s="52" t="s">
        <v>133</v>
      </c>
      <c r="H1" s="52" t="s">
        <v>134</v>
      </c>
      <c r="I1" s="52" t="s">
        <v>135</v>
      </c>
      <c r="J1" s="53" t="s">
        <v>149</v>
      </c>
      <c r="K1" s="52" t="s">
        <v>150</v>
      </c>
      <c r="L1" s="35" t="s">
        <v>151</v>
      </c>
      <c r="M1" s="35"/>
      <c r="N1" s="35"/>
      <c r="O1" s="36">
        <f>SUMIFS(E2:E21,C2:C21,"South",B2:B21,"Mouse")</f>
        <v>23672</v>
      </c>
      <c r="P1" s="7"/>
      <c r="Q1" s="7"/>
      <c r="R1" s="7"/>
      <c r="S1" s="7"/>
      <c r="T1" s="7"/>
      <c r="U1" s="7"/>
      <c r="V1" s="7"/>
      <c r="W1" s="7"/>
      <c r="X1" s="7"/>
      <c r="Y1" s="7"/>
      <c r="Z1" s="7"/>
    </row>
    <row r="2" spans="1:26" ht="14.4" x14ac:dyDescent="0.3">
      <c r="A2" s="8">
        <v>2001</v>
      </c>
      <c r="B2" s="8" t="s">
        <v>73</v>
      </c>
      <c r="C2" s="8" t="s">
        <v>74</v>
      </c>
      <c r="D2" s="8" t="s">
        <v>75</v>
      </c>
      <c r="E2" s="8">
        <v>7048</v>
      </c>
      <c r="F2" s="55">
        <v>44927</v>
      </c>
      <c r="G2" s="58">
        <v>0.05</v>
      </c>
      <c r="H2" s="59">
        <f>E2-(E2*G2)</f>
        <v>6695.6</v>
      </c>
      <c r="I2" s="57" t="str">
        <f>IF(OR(A1,C2="South",C2="West"),"eligible","not eligible")</f>
        <v>eligible</v>
      </c>
      <c r="J2" s="57" cm="1">
        <f t="array" aca="1" ref="J2:J22" ca="1">OFFSET($E$2,0,0,COUNTA($E:$E),1)</f>
        <v>7048</v>
      </c>
      <c r="K2" s="57">
        <f>AVERAGE(E2:E21)</f>
        <v>25386.25</v>
      </c>
      <c r="L2" s="35"/>
      <c r="M2" s="35"/>
      <c r="N2" s="35"/>
      <c r="O2" s="7"/>
      <c r="P2" s="7"/>
      <c r="Q2" s="7"/>
      <c r="R2" s="12" t="s">
        <v>160</v>
      </c>
      <c r="S2" s="12"/>
      <c r="T2" s="12"/>
      <c r="U2" s="7"/>
      <c r="V2" s="7"/>
      <c r="W2" s="7"/>
      <c r="X2" s="7"/>
      <c r="Y2" s="7"/>
      <c r="Z2" s="7"/>
    </row>
    <row r="3" spans="1:26" ht="14.4" x14ac:dyDescent="0.3">
      <c r="A3" s="8">
        <v>2002</v>
      </c>
      <c r="B3" s="8" t="s">
        <v>76</v>
      </c>
      <c r="C3" s="8" t="s">
        <v>77</v>
      </c>
      <c r="D3" s="8" t="s">
        <v>78</v>
      </c>
      <c r="E3" s="8">
        <v>17428</v>
      </c>
      <c r="F3" s="55">
        <v>44942</v>
      </c>
      <c r="G3" s="58">
        <v>0.1</v>
      </c>
      <c r="H3" s="59">
        <f t="shared" ref="H3:H21" si="0">E3-(E3*G3)</f>
        <v>15685.2</v>
      </c>
      <c r="I3" s="57" t="str">
        <f t="shared" ref="I3:I21" si="1">IF(OR(A2,C3="South",C3="West"),"eligible","not eligible")</f>
        <v>eligible</v>
      </c>
      <c r="J3" s="57">
        <f ca="1"/>
        <v>17428</v>
      </c>
      <c r="K3" s="57">
        <f t="shared" ref="K3:K21" si="2">AVERAGE(E3:E22)</f>
        <v>26351.42105263158</v>
      </c>
      <c r="L3" s="35" t="s">
        <v>152</v>
      </c>
      <c r="M3" s="35"/>
      <c r="N3" s="7"/>
      <c r="O3" s="7"/>
      <c r="P3" s="7"/>
      <c r="Q3" s="7"/>
      <c r="R3" s="12"/>
      <c r="S3" s="12"/>
      <c r="T3" s="12"/>
      <c r="U3" s="7"/>
      <c r="V3" s="7"/>
      <c r="W3" s="7"/>
      <c r="X3" s="7"/>
      <c r="Y3" s="7"/>
      <c r="Z3" s="7"/>
    </row>
    <row r="4" spans="1:26" ht="14.4" x14ac:dyDescent="0.3">
      <c r="A4" s="8">
        <v>2003</v>
      </c>
      <c r="B4" s="8" t="s">
        <v>79</v>
      </c>
      <c r="C4" s="8" t="s">
        <v>74</v>
      </c>
      <c r="D4" s="8" t="s">
        <v>80</v>
      </c>
      <c r="E4" s="8">
        <v>23672</v>
      </c>
      <c r="F4" s="55">
        <v>44957</v>
      </c>
      <c r="G4" s="58">
        <v>0.15</v>
      </c>
      <c r="H4" s="59">
        <f t="shared" si="0"/>
        <v>20121.2</v>
      </c>
      <c r="I4" s="57" t="str">
        <f t="shared" si="1"/>
        <v>eligible</v>
      </c>
      <c r="J4" s="57">
        <f ca="1"/>
        <v>23672</v>
      </c>
      <c r="K4" s="57">
        <f t="shared" si="2"/>
        <v>26847.166666666668</v>
      </c>
      <c r="L4" s="7"/>
      <c r="M4" s="7"/>
      <c r="N4" s="7"/>
      <c r="O4" s="7"/>
      <c r="P4" s="7"/>
      <c r="Q4" s="7"/>
      <c r="R4" s="7" t="s">
        <v>68</v>
      </c>
      <c r="S4" s="7" t="s">
        <v>161</v>
      </c>
      <c r="T4" s="7"/>
      <c r="U4" s="7"/>
      <c r="V4" s="7"/>
      <c r="W4" s="7"/>
      <c r="X4" s="7"/>
      <c r="Y4" s="7"/>
      <c r="Z4" s="7"/>
    </row>
    <row r="5" spans="1:26" ht="14.4" x14ac:dyDescent="0.3">
      <c r="A5" s="8">
        <v>2004</v>
      </c>
      <c r="B5" s="8" t="s">
        <v>76</v>
      </c>
      <c r="C5" s="8" t="s">
        <v>81</v>
      </c>
      <c r="D5" s="8" t="s">
        <v>82</v>
      </c>
      <c r="E5" s="8">
        <v>5264</v>
      </c>
      <c r="F5" s="55">
        <v>44972</v>
      </c>
      <c r="G5" s="58">
        <v>0.2</v>
      </c>
      <c r="H5" s="59">
        <f t="shared" si="0"/>
        <v>4211.2</v>
      </c>
      <c r="I5" s="57" t="str">
        <f t="shared" si="1"/>
        <v>eligible</v>
      </c>
      <c r="J5" s="57">
        <f ca="1"/>
        <v>5264</v>
      </c>
      <c r="K5" s="57">
        <f t="shared" si="2"/>
        <v>27033.941176470587</v>
      </c>
      <c r="L5" s="37" t="s">
        <v>153</v>
      </c>
      <c r="M5" s="37"/>
      <c r="N5" s="37"/>
      <c r="O5" s="37"/>
      <c r="P5" s="7">
        <f>VLOOKUP(2007,A2:E21,5,FALSE)</f>
        <v>32058</v>
      </c>
      <c r="Q5" s="7"/>
      <c r="R5" s="7" t="s">
        <v>79</v>
      </c>
      <c r="S5" s="7">
        <f>_xlfn.XMATCH(R5,B2:B21,0,1)</f>
        <v>3</v>
      </c>
      <c r="T5" s="7"/>
      <c r="U5" s="7"/>
      <c r="V5" s="7"/>
      <c r="W5" s="7"/>
      <c r="X5" s="7"/>
      <c r="Y5" s="7"/>
      <c r="Z5" s="7"/>
    </row>
    <row r="6" spans="1:26" ht="14.4" x14ac:dyDescent="0.3">
      <c r="A6" s="8">
        <v>2005</v>
      </c>
      <c r="B6" s="8" t="s">
        <v>73</v>
      </c>
      <c r="C6" s="8" t="s">
        <v>83</v>
      </c>
      <c r="D6" s="8" t="s">
        <v>84</v>
      </c>
      <c r="E6" s="8">
        <v>43388</v>
      </c>
      <c r="F6" s="55">
        <v>44987</v>
      </c>
      <c r="G6" s="58">
        <v>0.25</v>
      </c>
      <c r="H6" s="59">
        <f t="shared" si="0"/>
        <v>32541</v>
      </c>
      <c r="I6" s="57" t="str">
        <f t="shared" si="1"/>
        <v>eligible</v>
      </c>
      <c r="J6" s="57">
        <f ca="1"/>
        <v>43388</v>
      </c>
      <c r="K6" s="57">
        <f t="shared" si="2"/>
        <v>28394.5625</v>
      </c>
      <c r="L6" s="37"/>
      <c r="M6" s="37"/>
      <c r="N6" s="37"/>
      <c r="O6" s="37"/>
      <c r="P6" s="7"/>
      <c r="Q6" s="7"/>
      <c r="R6" s="7"/>
      <c r="S6" s="7"/>
      <c r="T6" s="7"/>
      <c r="U6" s="7"/>
      <c r="V6" s="7"/>
      <c r="W6" s="7"/>
      <c r="X6" s="7"/>
      <c r="Y6" s="7"/>
      <c r="Z6" s="7"/>
    </row>
    <row r="7" spans="1:26" ht="14.4" x14ac:dyDescent="0.3">
      <c r="A7" s="8">
        <v>2006</v>
      </c>
      <c r="B7" s="8" t="s">
        <v>79</v>
      </c>
      <c r="C7" s="8" t="s">
        <v>83</v>
      </c>
      <c r="D7" s="8" t="s">
        <v>85</v>
      </c>
      <c r="E7" s="8">
        <v>19757</v>
      </c>
      <c r="F7" s="55">
        <v>45002</v>
      </c>
      <c r="G7" s="58">
        <v>0.3</v>
      </c>
      <c r="H7" s="59">
        <f t="shared" si="0"/>
        <v>13829.900000000001</v>
      </c>
      <c r="I7" s="57" t="str">
        <f t="shared" si="1"/>
        <v>eligible</v>
      </c>
      <c r="J7" s="57">
        <f ca="1"/>
        <v>19757</v>
      </c>
      <c r="K7" s="57">
        <f t="shared" si="2"/>
        <v>27395</v>
      </c>
      <c r="L7" s="7"/>
      <c r="M7" s="7"/>
      <c r="N7" s="7"/>
      <c r="O7" s="7"/>
      <c r="P7" s="7"/>
      <c r="Q7" s="7"/>
      <c r="R7" s="7"/>
      <c r="S7" s="7"/>
      <c r="T7" s="7"/>
      <c r="U7" s="7"/>
      <c r="V7" s="7"/>
      <c r="W7" s="7"/>
      <c r="X7" s="7"/>
      <c r="Y7" s="7"/>
      <c r="Z7" s="7"/>
    </row>
    <row r="8" spans="1:26" ht="14.4" x14ac:dyDescent="0.3">
      <c r="A8" s="8">
        <v>2007</v>
      </c>
      <c r="B8" s="8" t="s">
        <v>79</v>
      </c>
      <c r="C8" s="8" t="s">
        <v>81</v>
      </c>
      <c r="D8" s="8" t="s">
        <v>86</v>
      </c>
      <c r="E8" s="8">
        <v>32058</v>
      </c>
      <c r="F8" s="55">
        <v>45017</v>
      </c>
      <c r="G8" s="58">
        <v>0.35</v>
      </c>
      <c r="H8" s="59">
        <f t="shared" si="0"/>
        <v>20837.7</v>
      </c>
      <c r="I8" s="57" t="str">
        <f t="shared" si="1"/>
        <v>eligible</v>
      </c>
      <c r="J8" s="57">
        <f ca="1"/>
        <v>32058</v>
      </c>
      <c r="K8" s="57">
        <f t="shared" si="2"/>
        <v>27940.571428571428</v>
      </c>
      <c r="L8" s="38" t="s">
        <v>154</v>
      </c>
      <c r="M8" s="38"/>
      <c r="N8" s="38"/>
      <c r="O8" s="38"/>
      <c r="P8" s="7">
        <f>SUMIFS(E2:E21,D2:D21,"Person 1",F2:F21,"&lt;=2023-01-31")</f>
        <v>7048</v>
      </c>
      <c r="Q8" s="7"/>
      <c r="R8" s="17" t="s">
        <v>150</v>
      </c>
      <c r="S8" s="40" t="s">
        <v>162</v>
      </c>
      <c r="T8" s="41" t="s">
        <v>163</v>
      </c>
      <c r="U8" s="42" t="s">
        <v>164</v>
      </c>
      <c r="V8" s="7"/>
      <c r="W8" s="7"/>
      <c r="X8" s="7"/>
      <c r="Y8" s="7"/>
      <c r="Z8" s="7"/>
    </row>
    <row r="9" spans="1:26" ht="14.4" x14ac:dyDescent="0.3">
      <c r="A9" s="8">
        <v>2008</v>
      </c>
      <c r="B9" s="8" t="s">
        <v>73</v>
      </c>
      <c r="C9" s="8" t="s">
        <v>81</v>
      </c>
      <c r="D9" s="8" t="s">
        <v>87</v>
      </c>
      <c r="E9" s="8">
        <v>46429</v>
      </c>
      <c r="F9" s="55">
        <v>45032</v>
      </c>
      <c r="G9" s="58">
        <v>0.4</v>
      </c>
      <c r="H9" s="59">
        <f t="shared" si="0"/>
        <v>27857.399999999998</v>
      </c>
      <c r="I9" s="57" t="str">
        <f t="shared" si="1"/>
        <v>eligible</v>
      </c>
      <c r="J9" s="57">
        <f ca="1"/>
        <v>46429</v>
      </c>
      <c r="K9" s="57">
        <f t="shared" si="2"/>
        <v>27623.846153846152</v>
      </c>
      <c r="L9" s="38"/>
      <c r="M9" s="38"/>
      <c r="N9" s="38"/>
      <c r="O9" s="38"/>
      <c r="P9" s="7"/>
      <c r="Q9" s="7"/>
      <c r="R9" s="31">
        <v>28394.6</v>
      </c>
      <c r="S9" s="43">
        <f>ROUND(R9,2)</f>
        <v>28394.6</v>
      </c>
      <c r="T9" s="28">
        <f>CEILING(R9,10)</f>
        <v>28400</v>
      </c>
      <c r="U9" s="16">
        <f>FLOOR(R9,10)</f>
        <v>28390</v>
      </c>
      <c r="V9" s="7"/>
      <c r="W9" s="7"/>
      <c r="X9" s="7"/>
      <c r="Y9" s="7"/>
      <c r="Z9" s="7"/>
    </row>
    <row r="10" spans="1:26" ht="14.4" x14ac:dyDescent="0.3">
      <c r="A10" s="8">
        <v>2009</v>
      </c>
      <c r="B10" s="8" t="s">
        <v>76</v>
      </c>
      <c r="C10" s="8" t="s">
        <v>81</v>
      </c>
      <c r="D10" s="8" t="s">
        <v>88</v>
      </c>
      <c r="E10" s="8">
        <v>19746</v>
      </c>
      <c r="F10" s="55">
        <v>45047</v>
      </c>
      <c r="G10" s="58">
        <v>0.45</v>
      </c>
      <c r="H10" s="59">
        <f t="shared" si="0"/>
        <v>10860.3</v>
      </c>
      <c r="I10" s="57" t="str">
        <f t="shared" si="1"/>
        <v>eligible</v>
      </c>
      <c r="J10" s="57">
        <f ca="1"/>
        <v>19746</v>
      </c>
      <c r="K10" s="57">
        <f t="shared" si="2"/>
        <v>26056.75</v>
      </c>
      <c r="L10" s="7"/>
      <c r="M10" s="7"/>
      <c r="N10" s="7"/>
      <c r="O10" s="7"/>
      <c r="P10" s="7"/>
      <c r="Q10" s="7"/>
      <c r="R10" s="7"/>
      <c r="S10" s="7"/>
      <c r="T10" s="7"/>
      <c r="U10" s="7"/>
      <c r="V10" s="7"/>
      <c r="W10" s="7"/>
      <c r="X10" s="7"/>
      <c r="Y10" s="7"/>
      <c r="Z10" s="7"/>
    </row>
    <row r="11" spans="1:26" ht="14.4" x14ac:dyDescent="0.3">
      <c r="A11" s="8">
        <v>2010</v>
      </c>
      <c r="B11" s="8" t="s">
        <v>73</v>
      </c>
      <c r="C11" s="8" t="s">
        <v>74</v>
      </c>
      <c r="D11" s="8" t="s">
        <v>89</v>
      </c>
      <c r="E11" s="8">
        <v>35185</v>
      </c>
      <c r="F11" s="55">
        <v>45062</v>
      </c>
      <c r="G11" s="58">
        <v>0.5</v>
      </c>
      <c r="H11" s="59">
        <f t="shared" si="0"/>
        <v>17592.5</v>
      </c>
      <c r="I11" s="57" t="str">
        <f t="shared" si="1"/>
        <v>eligible</v>
      </c>
      <c r="J11" s="57">
        <f ca="1"/>
        <v>35185</v>
      </c>
      <c r="K11" s="57">
        <f t="shared" si="2"/>
        <v>26630.454545454544</v>
      </c>
      <c r="L11" s="39" t="s">
        <v>155</v>
      </c>
      <c r="M11" s="39"/>
      <c r="N11" s="39"/>
      <c r="O11" s="39"/>
      <c r="P11" s="7"/>
      <c r="Q11" s="7"/>
      <c r="R11" s="7"/>
      <c r="S11" s="7"/>
      <c r="T11" s="7"/>
      <c r="U11" s="7"/>
      <c r="V11" s="7"/>
      <c r="W11" s="7"/>
      <c r="X11" s="7"/>
      <c r="Y11" s="7"/>
      <c r="Z11" s="7"/>
    </row>
    <row r="12" spans="1:26" ht="14.4" x14ac:dyDescent="0.3">
      <c r="A12" s="8">
        <v>2011</v>
      </c>
      <c r="B12" s="8" t="s">
        <v>73</v>
      </c>
      <c r="C12" s="8" t="s">
        <v>81</v>
      </c>
      <c r="D12" s="8" t="s">
        <v>90</v>
      </c>
      <c r="E12" s="8">
        <v>33920</v>
      </c>
      <c r="F12" s="55">
        <v>45077</v>
      </c>
      <c r="G12" s="58">
        <v>0.55000000000000004</v>
      </c>
      <c r="H12" s="59">
        <f t="shared" si="0"/>
        <v>15264</v>
      </c>
      <c r="I12" s="57" t="str">
        <f t="shared" si="1"/>
        <v>eligible</v>
      </c>
      <c r="J12" s="57">
        <f ca="1"/>
        <v>33920</v>
      </c>
      <c r="K12" s="57">
        <f t="shared" si="2"/>
        <v>25775</v>
      </c>
      <c r="L12" s="39"/>
      <c r="M12" s="39"/>
      <c r="N12" s="39"/>
      <c r="O12" s="39"/>
      <c r="P12" s="7"/>
      <c r="Q12" s="7"/>
      <c r="R12" s="7"/>
      <c r="S12" s="7"/>
      <c r="T12" s="7"/>
      <c r="U12" s="7"/>
      <c r="V12" s="7"/>
      <c r="W12" s="7"/>
      <c r="X12" s="7"/>
      <c r="Y12" s="7"/>
      <c r="Z12" s="7"/>
    </row>
    <row r="13" spans="1:26" ht="14.4" x14ac:dyDescent="0.3">
      <c r="A13" s="8">
        <v>2012</v>
      </c>
      <c r="B13" s="8" t="s">
        <v>91</v>
      </c>
      <c r="C13" s="8" t="s">
        <v>83</v>
      </c>
      <c r="D13" s="8" t="s">
        <v>92</v>
      </c>
      <c r="E13" s="8">
        <v>35611</v>
      </c>
      <c r="F13" s="55">
        <v>45092</v>
      </c>
      <c r="G13" s="58">
        <v>0.6</v>
      </c>
      <c r="H13" s="59">
        <f t="shared" si="0"/>
        <v>14244.400000000001</v>
      </c>
      <c r="I13" s="57" t="str">
        <f t="shared" si="1"/>
        <v>eligible</v>
      </c>
      <c r="J13" s="57">
        <f ca="1"/>
        <v>35611</v>
      </c>
      <c r="K13" s="57">
        <f t="shared" si="2"/>
        <v>24870</v>
      </c>
      <c r="L13" s="7"/>
      <c r="M13" s="7" t="s">
        <v>156</v>
      </c>
      <c r="N13" s="7" t="s">
        <v>149</v>
      </c>
      <c r="O13" s="7"/>
      <c r="P13" s="7"/>
      <c r="Q13" s="7"/>
      <c r="R13" s="7"/>
      <c r="S13" s="7"/>
      <c r="T13" s="7"/>
      <c r="U13" s="7"/>
      <c r="V13" s="7"/>
      <c r="W13" s="7"/>
      <c r="X13" s="7"/>
      <c r="Y13" s="7"/>
      <c r="Z13" s="7"/>
    </row>
    <row r="14" spans="1:26" ht="14.4" x14ac:dyDescent="0.3">
      <c r="A14" s="8">
        <v>2013</v>
      </c>
      <c r="B14" s="8" t="s">
        <v>93</v>
      </c>
      <c r="C14" s="8" t="s">
        <v>81</v>
      </c>
      <c r="D14" s="8" t="s">
        <v>94</v>
      </c>
      <c r="E14" s="8">
        <v>15560</v>
      </c>
      <c r="F14" s="55">
        <v>45107</v>
      </c>
      <c r="G14" s="58">
        <v>0.65</v>
      </c>
      <c r="H14" s="59">
        <f t="shared" si="0"/>
        <v>5446</v>
      </c>
      <c r="I14" s="57" t="str">
        <f t="shared" si="1"/>
        <v>eligible</v>
      </c>
      <c r="J14" s="57">
        <f ca="1"/>
        <v>15560</v>
      </c>
      <c r="K14" s="57">
        <f t="shared" si="2"/>
        <v>23527.375</v>
      </c>
      <c r="L14" s="7"/>
      <c r="M14" s="7">
        <v>2005</v>
      </c>
      <c r="N14" s="7">
        <f>VLOOKUP(M14,A2:E21,5,0)</f>
        <v>43388</v>
      </c>
      <c r="O14" s="7"/>
      <c r="P14" s="7"/>
      <c r="Q14" s="7"/>
      <c r="R14" s="7"/>
      <c r="S14" s="7"/>
      <c r="T14" s="7"/>
      <c r="U14" s="7"/>
      <c r="V14" s="7"/>
      <c r="W14" s="7"/>
      <c r="X14" s="7"/>
      <c r="Y14" s="7"/>
      <c r="Z14" s="7"/>
    </row>
    <row r="15" spans="1:26" ht="14.4" x14ac:dyDescent="0.3">
      <c r="A15" s="8">
        <v>2014</v>
      </c>
      <c r="B15" s="8" t="s">
        <v>93</v>
      </c>
      <c r="C15" s="8" t="s">
        <v>74</v>
      </c>
      <c r="D15" s="8" t="s">
        <v>95</v>
      </c>
      <c r="E15" s="8">
        <v>7283</v>
      </c>
      <c r="F15" s="55">
        <v>45122</v>
      </c>
      <c r="G15" s="58">
        <v>0.7</v>
      </c>
      <c r="H15" s="59">
        <f t="shared" si="0"/>
        <v>2184.9000000000005</v>
      </c>
      <c r="I15" s="57" t="str">
        <f t="shared" si="1"/>
        <v>eligible</v>
      </c>
      <c r="J15" s="57">
        <f ca="1"/>
        <v>7283</v>
      </c>
      <c r="K15" s="57">
        <f t="shared" si="2"/>
        <v>24665.571428571428</v>
      </c>
      <c r="L15" s="7"/>
      <c r="M15" s="7"/>
      <c r="N15" s="7"/>
      <c r="O15" s="7"/>
      <c r="P15" s="7"/>
      <c r="Q15" s="7"/>
      <c r="R15" s="7"/>
      <c r="S15" s="7"/>
      <c r="T15" s="7"/>
      <c r="U15" s="7"/>
      <c r="V15" s="7"/>
      <c r="W15" s="7"/>
      <c r="X15" s="7"/>
      <c r="Y15" s="7"/>
      <c r="Z15" s="7"/>
    </row>
    <row r="16" spans="1:26" ht="14.4" x14ac:dyDescent="0.3">
      <c r="A16" s="8">
        <v>2015</v>
      </c>
      <c r="B16" s="8" t="s">
        <v>93</v>
      </c>
      <c r="C16" s="8" t="s">
        <v>81</v>
      </c>
      <c r="D16" s="8" t="s">
        <v>96</v>
      </c>
      <c r="E16" s="8">
        <v>15678</v>
      </c>
      <c r="F16" s="55">
        <v>45137</v>
      </c>
      <c r="G16" s="58">
        <v>0.75</v>
      </c>
      <c r="H16" s="59">
        <f t="shared" si="0"/>
        <v>3919.5</v>
      </c>
      <c r="I16" s="57" t="str">
        <f t="shared" si="1"/>
        <v>eligible</v>
      </c>
      <c r="J16" s="57">
        <f ca="1"/>
        <v>15678</v>
      </c>
      <c r="K16" s="57">
        <f t="shared" si="2"/>
        <v>27562.666666666668</v>
      </c>
      <c r="L16" s="11" t="s">
        <v>157</v>
      </c>
      <c r="M16" s="11"/>
      <c r="N16" s="11"/>
      <c r="O16" s="11"/>
      <c r="P16" s="11"/>
      <c r="Q16" s="11"/>
      <c r="R16" s="7"/>
      <c r="S16" s="7"/>
      <c r="T16" s="7"/>
      <c r="U16" s="7"/>
      <c r="V16" s="7"/>
      <c r="W16" s="7"/>
      <c r="X16" s="7"/>
      <c r="Y16" s="7"/>
      <c r="Z16" s="7"/>
    </row>
    <row r="17" spans="1:26" ht="14.4" x14ac:dyDescent="0.3">
      <c r="A17" s="8">
        <v>2016</v>
      </c>
      <c r="B17" s="8" t="s">
        <v>79</v>
      </c>
      <c r="C17" s="8" t="s">
        <v>81</v>
      </c>
      <c r="D17" s="8" t="s">
        <v>97</v>
      </c>
      <c r="E17" s="8">
        <v>5277</v>
      </c>
      <c r="F17" s="55">
        <v>45152</v>
      </c>
      <c r="G17" s="58">
        <v>0.8</v>
      </c>
      <c r="H17" s="59">
        <f t="shared" si="0"/>
        <v>1055.3999999999996</v>
      </c>
      <c r="I17" s="57" t="str">
        <f t="shared" si="1"/>
        <v>eligible</v>
      </c>
      <c r="J17" s="57">
        <f ca="1"/>
        <v>5277</v>
      </c>
      <c r="K17" s="57">
        <f t="shared" si="2"/>
        <v>29939.599999999999</v>
      </c>
      <c r="L17" s="11"/>
      <c r="M17" s="11"/>
      <c r="N17" s="11"/>
      <c r="O17" s="11"/>
      <c r="P17" s="11"/>
      <c r="Q17" s="11"/>
      <c r="R17" s="7"/>
      <c r="S17" s="7"/>
      <c r="T17" s="7"/>
      <c r="U17" s="7"/>
      <c r="V17" s="7"/>
      <c r="W17" s="7"/>
      <c r="X17" s="7"/>
      <c r="Y17" s="7"/>
      <c r="Z17" s="7"/>
    </row>
    <row r="18" spans="1:26" ht="14.4" x14ac:dyDescent="0.3">
      <c r="A18" s="8">
        <v>2017</v>
      </c>
      <c r="B18" s="8" t="s">
        <v>91</v>
      </c>
      <c r="C18" s="8" t="s">
        <v>83</v>
      </c>
      <c r="D18" s="8" t="s">
        <v>98</v>
      </c>
      <c r="E18" s="8">
        <v>41871</v>
      </c>
      <c r="F18" s="55">
        <v>45167</v>
      </c>
      <c r="G18" s="58">
        <v>0.85</v>
      </c>
      <c r="H18" s="59">
        <f t="shared" si="0"/>
        <v>6280.6500000000015</v>
      </c>
      <c r="I18" s="57" t="str">
        <f t="shared" si="1"/>
        <v>eligible</v>
      </c>
      <c r="J18" s="57">
        <f ca="1"/>
        <v>41871</v>
      </c>
      <c r="K18" s="57">
        <f t="shared" si="2"/>
        <v>36105.25</v>
      </c>
      <c r="L18" s="7"/>
      <c r="M18" s="7" t="s">
        <v>158</v>
      </c>
      <c r="N18" s="7" t="s">
        <v>72</v>
      </c>
      <c r="O18" s="7" t="s">
        <v>71</v>
      </c>
      <c r="P18" s="7"/>
      <c r="Q18" s="7"/>
      <c r="R18" s="7"/>
      <c r="S18" s="7"/>
      <c r="T18" s="7"/>
      <c r="U18" s="7"/>
      <c r="V18" s="7"/>
      <c r="W18" s="7"/>
      <c r="X18" s="7"/>
      <c r="Y18" s="7"/>
      <c r="Z18" s="7"/>
    </row>
    <row r="19" spans="1:26" ht="14.4" x14ac:dyDescent="0.3">
      <c r="A19" s="8">
        <v>2018</v>
      </c>
      <c r="B19" s="8" t="s">
        <v>91</v>
      </c>
      <c r="C19" s="8" t="s">
        <v>77</v>
      </c>
      <c r="D19" s="8" t="s">
        <v>99</v>
      </c>
      <c r="E19" s="8">
        <v>38161</v>
      </c>
      <c r="F19" s="55">
        <v>45182</v>
      </c>
      <c r="G19" s="58">
        <v>0.9</v>
      </c>
      <c r="H19" s="59">
        <f t="shared" si="0"/>
        <v>3816.0999999999985</v>
      </c>
      <c r="I19" s="57" t="str">
        <f t="shared" si="1"/>
        <v>eligible</v>
      </c>
      <c r="J19" s="57">
        <f ca="1"/>
        <v>38161</v>
      </c>
      <c r="K19" s="57">
        <f t="shared" si="2"/>
        <v>34183.333333333336</v>
      </c>
      <c r="L19" s="7"/>
      <c r="M19" s="7">
        <v>2001</v>
      </c>
      <c r="N19" s="10">
        <v>44927</v>
      </c>
      <c r="O19" s="7" cm="1">
        <f t="array" ref="O19">INDEX(E2:E21,MATCH(1,($D$2:D21=D2)*(MONTH(F2:F21)=1),0))</f>
        <v>7048</v>
      </c>
      <c r="P19" s="7"/>
      <c r="Q19" s="7"/>
      <c r="R19" s="7"/>
      <c r="S19" s="7"/>
      <c r="T19" s="7"/>
      <c r="U19" s="7"/>
      <c r="V19" s="7"/>
      <c r="W19" s="7"/>
      <c r="X19" s="7"/>
      <c r="Y19" s="7"/>
      <c r="Z19" s="7"/>
    </row>
    <row r="20" spans="1:26" ht="14.4" x14ac:dyDescent="0.3">
      <c r="A20" s="8">
        <v>2019</v>
      </c>
      <c r="B20" s="8" t="s">
        <v>79</v>
      </c>
      <c r="C20" s="8" t="s">
        <v>77</v>
      </c>
      <c r="D20" s="8" t="s">
        <v>100</v>
      </c>
      <c r="E20" s="8">
        <v>30436</v>
      </c>
      <c r="F20" s="55">
        <v>45197</v>
      </c>
      <c r="G20" s="58">
        <v>0.95</v>
      </c>
      <c r="H20" s="59">
        <f t="shared" si="0"/>
        <v>1521.8000000000029</v>
      </c>
      <c r="I20" s="57" t="str">
        <f t="shared" si="1"/>
        <v>eligible</v>
      </c>
      <c r="J20" s="57">
        <f ca="1"/>
        <v>30436</v>
      </c>
      <c r="K20" s="57">
        <f t="shared" si="2"/>
        <v>32194.5</v>
      </c>
      <c r="L20" s="7"/>
      <c r="M20" s="7"/>
      <c r="N20" s="7"/>
      <c r="O20" s="7"/>
      <c r="P20" s="7"/>
      <c r="Q20" s="7"/>
      <c r="R20" s="7"/>
      <c r="S20" s="7"/>
      <c r="T20" s="7"/>
      <c r="U20" s="7"/>
      <c r="V20" s="7"/>
      <c r="W20" s="7"/>
      <c r="X20" s="7"/>
      <c r="Y20" s="7"/>
      <c r="Z20" s="7"/>
    </row>
    <row r="21" spans="1:26" ht="15.75" customHeight="1" x14ac:dyDescent="0.3">
      <c r="A21" s="8">
        <v>2020</v>
      </c>
      <c r="B21" s="8" t="s">
        <v>76</v>
      </c>
      <c r="C21" s="8" t="s">
        <v>77</v>
      </c>
      <c r="D21" s="8" t="s">
        <v>101</v>
      </c>
      <c r="E21" s="8">
        <v>33953</v>
      </c>
      <c r="F21" s="55">
        <v>45212</v>
      </c>
      <c r="G21" s="58">
        <v>1</v>
      </c>
      <c r="H21" s="59">
        <f t="shared" si="0"/>
        <v>0</v>
      </c>
      <c r="I21" s="57" t="str">
        <f t="shared" si="1"/>
        <v>eligible</v>
      </c>
      <c r="J21" s="57">
        <f ca="1"/>
        <v>33953</v>
      </c>
      <c r="K21" s="57">
        <f t="shared" si="2"/>
        <v>33953</v>
      </c>
      <c r="L21" s="22" t="s">
        <v>159</v>
      </c>
      <c r="M21" s="22"/>
      <c r="N21" s="22"/>
      <c r="O21" s="22"/>
      <c r="P21" s="22"/>
      <c r="Q21" s="22"/>
      <c r="R21" s="7"/>
      <c r="S21" s="7"/>
      <c r="T21" s="7"/>
      <c r="U21" s="7"/>
      <c r="V21" s="7"/>
      <c r="W21" s="7"/>
      <c r="X21" s="7"/>
      <c r="Y21" s="7"/>
      <c r="Z21" s="7"/>
    </row>
    <row r="22" spans="1:26" ht="15.75" customHeight="1" x14ac:dyDescent="0.3">
      <c r="A22" s="7"/>
      <c r="B22" s="7"/>
      <c r="C22" s="7"/>
      <c r="D22" s="7"/>
      <c r="E22" s="7"/>
      <c r="F22" s="7"/>
      <c r="G22" s="7"/>
      <c r="H22" s="7"/>
      <c r="I22" s="7"/>
      <c r="J22" s="7">
        <f ca="1"/>
        <v>0</v>
      </c>
      <c r="K22" s="7"/>
      <c r="L22" s="22"/>
      <c r="M22" s="22"/>
      <c r="N22" s="22"/>
      <c r="O22" s="22"/>
      <c r="P22" s="22"/>
      <c r="Q22" s="22"/>
      <c r="R22" s="7"/>
      <c r="S22" s="7"/>
      <c r="T22" s="7"/>
      <c r="U22" s="7"/>
      <c r="V22" s="7"/>
      <c r="W22" s="7"/>
      <c r="X22" s="7"/>
      <c r="Y22" s="7"/>
      <c r="Z22" s="7"/>
    </row>
    <row r="23" spans="1:26" ht="15.75" customHeight="1" x14ac:dyDescent="0.3">
      <c r="A23" s="7"/>
      <c r="B23" s="7"/>
      <c r="C23" s="7"/>
      <c r="D23" s="7"/>
      <c r="E23" s="7"/>
      <c r="F23" s="7"/>
      <c r="G23" s="7"/>
      <c r="H23" s="7"/>
      <c r="I23" s="7"/>
      <c r="J23" s="7"/>
      <c r="K23" s="7"/>
      <c r="L23" s="7"/>
      <c r="M23" s="7" t="s">
        <v>158</v>
      </c>
      <c r="N23" s="7" t="s">
        <v>71</v>
      </c>
      <c r="O23" s="7"/>
      <c r="P23" s="7"/>
      <c r="Q23" s="7"/>
      <c r="R23" s="7"/>
      <c r="S23" s="7"/>
      <c r="T23" s="7"/>
      <c r="U23" s="7"/>
      <c r="V23" s="7"/>
      <c r="W23" s="7"/>
      <c r="X23" s="7"/>
      <c r="Y23" s="7"/>
      <c r="Z23" s="7"/>
    </row>
    <row r="24" spans="1:26" ht="15.75" customHeight="1" x14ac:dyDescent="0.3">
      <c r="A24" s="7"/>
      <c r="B24" s="7"/>
      <c r="C24" s="7"/>
      <c r="D24" s="7"/>
      <c r="E24" s="7"/>
      <c r="F24" s="7"/>
      <c r="G24" s="7"/>
      <c r="H24" s="7"/>
      <c r="I24" s="7"/>
      <c r="J24" s="7"/>
      <c r="K24" s="7"/>
      <c r="L24" s="7"/>
      <c r="M24" s="7" t="s">
        <v>75</v>
      </c>
      <c r="N24" s="7">
        <f>_xlfn.XLOOKUP(M24,D2:D21,E2:E21)</f>
        <v>7048</v>
      </c>
      <c r="O24" s="7"/>
      <c r="P24" s="7"/>
      <c r="Q24" s="7"/>
      <c r="R24" s="7"/>
      <c r="S24" s="7"/>
      <c r="T24" s="7"/>
      <c r="U24" s="7"/>
      <c r="V24" s="7"/>
      <c r="W24" s="7"/>
      <c r="X24" s="7"/>
      <c r="Y24" s="7"/>
      <c r="Z24" s="7"/>
    </row>
    <row r="25" spans="1:26" ht="15.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L21:Q22"/>
    <mergeCell ref="R2:T3"/>
    <mergeCell ref="L1:N2"/>
    <mergeCell ref="L3:M3"/>
    <mergeCell ref="L5:O6"/>
    <mergeCell ref="L8:O9"/>
    <mergeCell ref="L11:O12"/>
    <mergeCell ref="L16:Q17"/>
  </mergeCells>
  <dataValidations count="3">
    <dataValidation type="list" allowBlank="1" showInputMessage="1" showErrorMessage="1" sqref="M14 M19" xr:uid="{AD00F70E-E78C-4EA4-BBE3-101291D4AA1A}">
      <formula1>$A$2:$A$21</formula1>
    </dataValidation>
    <dataValidation type="list" allowBlank="1" showInputMessage="1" showErrorMessage="1" sqref="R5" xr:uid="{7BFAFCC3-26E8-4DB9-9672-8C21AF0A8F2F}">
      <formula1>$B$2:$B$21</formula1>
    </dataValidation>
    <dataValidation type="list" allowBlank="1" showInputMessage="1" showErrorMessage="1" sqref="M24" xr:uid="{AF18AD79-A663-43E2-92FC-610BE2333F50}">
      <formula1>$D$2:$D$21</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J23" sqref="J23"/>
    </sheetView>
  </sheetViews>
  <sheetFormatPr defaultColWidth="14.44140625" defaultRowHeight="15" customHeight="1" x14ac:dyDescent="0.3"/>
  <cols>
    <col min="1" max="1" width="12" customWidth="1"/>
    <col min="2" max="2" width="12.109375" customWidth="1"/>
    <col min="3" max="3" width="11.6640625" customWidth="1"/>
    <col min="4" max="4" width="7.5546875" customWidth="1"/>
    <col min="5" max="5" width="18.109375" customWidth="1"/>
    <col min="6" max="6" width="11.21875" customWidth="1"/>
    <col min="7" max="9" width="8.6640625" customWidth="1"/>
    <col min="10" max="10" width="11.21875" bestFit="1" customWidth="1"/>
    <col min="11" max="12" width="8.6640625" customWidth="1"/>
    <col min="13" max="13" width="3.5546875" customWidth="1"/>
    <col min="14" max="14" width="10.77734375" bestFit="1" customWidth="1"/>
    <col min="15" max="25" width="8.6640625" customWidth="1"/>
  </cols>
  <sheetData>
    <row r="1" spans="1:25" ht="14.4" x14ac:dyDescent="0.3">
      <c r="A1" s="6" t="s">
        <v>102</v>
      </c>
      <c r="B1" s="6" t="s">
        <v>42</v>
      </c>
      <c r="C1" s="6" t="s">
        <v>103</v>
      </c>
      <c r="D1" s="6" t="s">
        <v>104</v>
      </c>
      <c r="E1" s="6" t="s">
        <v>105</v>
      </c>
      <c r="F1" s="44" t="s">
        <v>165</v>
      </c>
      <c r="G1" s="44" t="s">
        <v>166</v>
      </c>
      <c r="H1" s="44" t="s">
        <v>167</v>
      </c>
      <c r="I1" s="7"/>
      <c r="J1" s="45" t="s">
        <v>168</v>
      </c>
      <c r="K1" s="46"/>
      <c r="L1" s="46"/>
      <c r="M1" s="46"/>
      <c r="N1" s="7">
        <v>3002</v>
      </c>
      <c r="O1" s="7">
        <f>_xlfn.XLOOKUP(N1,A2:A21,D2:D21)</f>
        <v>31943</v>
      </c>
      <c r="P1" s="7"/>
      <c r="Q1" s="7"/>
      <c r="R1" s="7"/>
      <c r="S1" s="7"/>
      <c r="T1" s="7"/>
      <c r="U1" s="7"/>
      <c r="V1" s="7"/>
      <c r="W1" s="7"/>
      <c r="X1" s="7"/>
      <c r="Y1" s="7"/>
    </row>
    <row r="2" spans="1:25" ht="14.4" x14ac:dyDescent="0.3">
      <c r="A2" s="8">
        <v>3001</v>
      </c>
      <c r="B2" s="8" t="s">
        <v>106</v>
      </c>
      <c r="C2" s="8" t="s">
        <v>107</v>
      </c>
      <c r="D2" s="8">
        <v>86766</v>
      </c>
      <c r="E2" s="55">
        <v>42005</v>
      </c>
      <c r="F2" s="56">
        <v>35983</v>
      </c>
      <c r="G2" s="57">
        <f ca="1">DATEDIF(F2,TODAY(),"Y")</f>
        <v>27</v>
      </c>
      <c r="H2" s="57">
        <f>DATEDIF(F2,E2,"D")</f>
        <v>6022</v>
      </c>
      <c r="I2" s="7"/>
      <c r="J2" s="46"/>
      <c r="K2" s="46"/>
      <c r="L2" s="46"/>
      <c r="M2" s="46"/>
      <c r="N2" s="7"/>
      <c r="O2" s="7"/>
      <c r="P2" s="7"/>
      <c r="Q2" s="7"/>
      <c r="R2" s="7"/>
      <c r="S2" s="7"/>
      <c r="T2" s="7"/>
      <c r="U2" s="7"/>
      <c r="V2" s="7"/>
      <c r="W2" s="7"/>
      <c r="X2" s="7"/>
      <c r="Y2" s="7"/>
    </row>
    <row r="3" spans="1:25" ht="14.4" x14ac:dyDescent="0.3">
      <c r="A3" s="8">
        <v>3002</v>
      </c>
      <c r="B3" s="8" t="s">
        <v>108</v>
      </c>
      <c r="C3" s="8" t="s">
        <v>107</v>
      </c>
      <c r="D3" s="8">
        <v>31943</v>
      </c>
      <c r="E3" s="55">
        <v>42255</v>
      </c>
      <c r="F3" s="56">
        <v>36014</v>
      </c>
      <c r="G3" s="57">
        <f t="shared" ref="G3:G21" ca="1" si="0">DATEDIF(F3,TODAY(),"Y")</f>
        <v>27</v>
      </c>
      <c r="H3" s="57">
        <f t="shared" ref="H3:H21" si="1">DATEDIF(F3,E3,"D")</f>
        <v>6241</v>
      </c>
      <c r="I3" s="7"/>
      <c r="J3" s="7"/>
      <c r="K3" s="7"/>
      <c r="L3" s="7"/>
      <c r="M3" s="7"/>
      <c r="N3" s="7"/>
      <c r="O3" s="7"/>
      <c r="P3" s="7"/>
      <c r="Q3" s="7"/>
      <c r="R3" s="7"/>
      <c r="S3" s="7"/>
      <c r="T3" s="7"/>
      <c r="U3" s="7"/>
      <c r="V3" s="7"/>
      <c r="W3" s="7"/>
      <c r="X3" s="7"/>
      <c r="Y3" s="7"/>
    </row>
    <row r="4" spans="1:25" ht="14.4" x14ac:dyDescent="0.3">
      <c r="A4" s="8">
        <v>3003</v>
      </c>
      <c r="B4" s="8" t="s">
        <v>109</v>
      </c>
      <c r="C4" s="8" t="s">
        <v>110</v>
      </c>
      <c r="D4" s="8">
        <v>63374</v>
      </c>
      <c r="E4" s="55">
        <v>42505</v>
      </c>
      <c r="F4" s="56">
        <v>36045</v>
      </c>
      <c r="G4" s="57">
        <f t="shared" ca="1" si="0"/>
        <v>27</v>
      </c>
      <c r="H4" s="57">
        <f t="shared" si="1"/>
        <v>6460</v>
      </c>
      <c r="I4" s="7"/>
      <c r="J4" s="23" t="s">
        <v>169</v>
      </c>
      <c r="K4" s="24"/>
      <c r="L4" s="24"/>
      <c r="M4" s="24"/>
      <c r="N4" s="7">
        <f ca="1">DATEDIF(E2,TODAY(),"Y")</f>
        <v>11</v>
      </c>
      <c r="O4" s="7"/>
      <c r="P4" s="7"/>
      <c r="Q4" s="7"/>
      <c r="R4" s="7"/>
      <c r="S4" s="7"/>
      <c r="T4" s="7"/>
      <c r="U4" s="7"/>
      <c r="V4" s="7"/>
      <c r="W4" s="7"/>
      <c r="X4" s="7"/>
      <c r="Y4" s="7"/>
    </row>
    <row r="5" spans="1:25" ht="14.4" x14ac:dyDescent="0.3">
      <c r="A5" s="8">
        <v>3004</v>
      </c>
      <c r="B5" s="8" t="s">
        <v>111</v>
      </c>
      <c r="C5" s="8" t="s">
        <v>107</v>
      </c>
      <c r="D5" s="8">
        <v>109972</v>
      </c>
      <c r="E5" s="55">
        <v>42755</v>
      </c>
      <c r="F5" s="56">
        <v>36075</v>
      </c>
      <c r="G5" s="57">
        <f t="shared" ca="1" si="0"/>
        <v>27</v>
      </c>
      <c r="H5" s="57">
        <f t="shared" si="1"/>
        <v>6680</v>
      </c>
      <c r="I5" s="7"/>
      <c r="J5" s="24"/>
      <c r="K5" s="24"/>
      <c r="L5" s="24"/>
      <c r="M5" s="24"/>
      <c r="N5" s="7"/>
      <c r="O5" s="7"/>
      <c r="P5" s="7"/>
      <c r="Q5" s="7"/>
      <c r="R5" s="7"/>
      <c r="S5" s="7"/>
      <c r="T5" s="7"/>
      <c r="U5" s="7"/>
      <c r="V5" s="7"/>
      <c r="W5" s="7"/>
      <c r="X5" s="7"/>
      <c r="Y5" s="7"/>
    </row>
    <row r="6" spans="1:25" ht="14.4" x14ac:dyDescent="0.3">
      <c r="A6" s="8">
        <v>3005</v>
      </c>
      <c r="B6" s="8" t="s">
        <v>112</v>
      </c>
      <c r="C6" s="8" t="s">
        <v>113</v>
      </c>
      <c r="D6" s="8">
        <v>54149</v>
      </c>
      <c r="E6" s="55">
        <v>43005</v>
      </c>
      <c r="F6" s="56">
        <v>36106</v>
      </c>
      <c r="G6" s="57">
        <f t="shared" ca="1" si="0"/>
        <v>27</v>
      </c>
      <c r="H6" s="57">
        <f t="shared" si="1"/>
        <v>6899</v>
      </c>
      <c r="I6" s="7"/>
      <c r="J6" s="7"/>
      <c r="K6" s="7"/>
      <c r="L6" s="7"/>
      <c r="M6" s="7"/>
      <c r="N6" s="7"/>
      <c r="O6" s="7"/>
      <c r="P6" s="7"/>
      <c r="Q6" s="7"/>
      <c r="R6" s="7"/>
      <c r="S6" s="7"/>
      <c r="T6" s="7"/>
      <c r="U6" s="7"/>
      <c r="V6" s="7"/>
      <c r="W6" s="7"/>
      <c r="X6" s="7"/>
      <c r="Y6" s="7"/>
    </row>
    <row r="7" spans="1:25" ht="14.4" x14ac:dyDescent="0.3">
      <c r="A7" s="8">
        <v>3006</v>
      </c>
      <c r="B7" s="8" t="s">
        <v>114</v>
      </c>
      <c r="C7" s="8" t="s">
        <v>113</v>
      </c>
      <c r="D7" s="8">
        <v>78689</v>
      </c>
      <c r="E7" s="55">
        <v>43255</v>
      </c>
      <c r="F7" s="56">
        <v>36136</v>
      </c>
      <c r="G7" s="57">
        <f t="shared" ca="1" si="0"/>
        <v>27</v>
      </c>
      <c r="H7" s="57">
        <f t="shared" si="1"/>
        <v>7119</v>
      </c>
      <c r="I7" s="7"/>
      <c r="J7" s="7"/>
      <c r="K7" s="7"/>
      <c r="L7" s="7"/>
      <c r="M7" s="7"/>
      <c r="N7" s="7"/>
      <c r="O7" s="7"/>
      <c r="P7" s="7"/>
      <c r="Q7" s="7"/>
      <c r="R7" s="7"/>
      <c r="S7" s="7"/>
      <c r="T7" s="7"/>
      <c r="U7" s="7"/>
      <c r="V7" s="7"/>
      <c r="W7" s="7"/>
      <c r="X7" s="7"/>
      <c r="Y7" s="7"/>
    </row>
    <row r="8" spans="1:25" ht="14.4" x14ac:dyDescent="0.3">
      <c r="A8" s="8">
        <v>3007</v>
      </c>
      <c r="B8" s="8" t="s">
        <v>115</v>
      </c>
      <c r="C8" s="8" t="s">
        <v>116</v>
      </c>
      <c r="D8" s="8">
        <v>35960</v>
      </c>
      <c r="E8" s="55">
        <v>43505</v>
      </c>
      <c r="F8" s="56">
        <v>36167</v>
      </c>
      <c r="G8" s="57">
        <f t="shared" ca="1" si="0"/>
        <v>26</v>
      </c>
      <c r="H8" s="57">
        <f t="shared" si="1"/>
        <v>7338</v>
      </c>
      <c r="I8" s="7"/>
      <c r="J8" s="47" t="s">
        <v>170</v>
      </c>
      <c r="K8" s="11"/>
      <c r="L8" s="11"/>
      <c r="M8" s="11"/>
      <c r="N8" s="7"/>
      <c r="O8" s="7"/>
      <c r="P8" s="7"/>
      <c r="Q8" s="7"/>
      <c r="R8" s="7"/>
      <c r="S8" s="7"/>
      <c r="T8" s="7"/>
      <c r="U8" s="7"/>
      <c r="V8" s="7"/>
      <c r="W8" s="7"/>
      <c r="X8" s="7"/>
      <c r="Y8" s="7"/>
    </row>
    <row r="9" spans="1:25" ht="14.4" x14ac:dyDescent="0.3">
      <c r="A9" s="8">
        <v>3008</v>
      </c>
      <c r="B9" s="8" t="s">
        <v>117</v>
      </c>
      <c r="C9" s="8" t="s">
        <v>113</v>
      </c>
      <c r="D9" s="8">
        <v>91659</v>
      </c>
      <c r="E9" s="55">
        <v>43755</v>
      </c>
      <c r="F9" s="56">
        <v>36198</v>
      </c>
      <c r="G9" s="57">
        <f t="shared" ca="1" si="0"/>
        <v>26</v>
      </c>
      <c r="H9" s="57">
        <f t="shared" si="1"/>
        <v>7557</v>
      </c>
      <c r="I9" s="7"/>
      <c r="J9" s="11"/>
      <c r="K9" s="11"/>
      <c r="L9" s="11"/>
      <c r="M9" s="11"/>
      <c r="N9" s="7"/>
      <c r="O9" s="7"/>
      <c r="P9" s="7"/>
      <c r="Q9" s="7"/>
      <c r="R9" s="7"/>
      <c r="S9" s="7"/>
      <c r="T9" s="7"/>
      <c r="U9" s="7"/>
      <c r="V9" s="7"/>
      <c r="W9" s="7"/>
      <c r="X9" s="7"/>
      <c r="Y9" s="7"/>
    </row>
    <row r="10" spans="1:25" ht="14.4" x14ac:dyDescent="0.3">
      <c r="A10" s="8">
        <v>3009</v>
      </c>
      <c r="B10" s="8" t="s">
        <v>118</v>
      </c>
      <c r="C10" s="8" t="s">
        <v>113</v>
      </c>
      <c r="D10" s="8">
        <v>90423</v>
      </c>
      <c r="E10" s="55">
        <v>44005</v>
      </c>
      <c r="F10" s="56">
        <v>36226</v>
      </c>
      <c r="G10" s="57">
        <f t="shared" ca="1" si="0"/>
        <v>26</v>
      </c>
      <c r="H10" s="57">
        <f t="shared" si="1"/>
        <v>7779</v>
      </c>
      <c r="I10" s="7"/>
      <c r="J10" s="49" t="s">
        <v>102</v>
      </c>
      <c r="K10" s="48" t="s">
        <v>104</v>
      </c>
      <c r="L10" s="7"/>
      <c r="M10" s="7"/>
      <c r="N10" s="7"/>
      <c r="O10" s="7"/>
      <c r="P10" s="7"/>
      <c r="Q10" s="7"/>
      <c r="R10" s="7"/>
      <c r="S10" s="7"/>
      <c r="T10" s="7"/>
      <c r="U10" s="7"/>
      <c r="V10" s="7"/>
      <c r="W10" s="7"/>
      <c r="X10" s="7"/>
      <c r="Y10" s="7"/>
    </row>
    <row r="11" spans="1:25" ht="14.4" x14ac:dyDescent="0.3">
      <c r="A11" s="8">
        <v>3010</v>
      </c>
      <c r="B11" s="8" t="s">
        <v>119</v>
      </c>
      <c r="C11" s="8" t="s">
        <v>110</v>
      </c>
      <c r="D11" s="8">
        <v>107877</v>
      </c>
      <c r="E11" s="55">
        <v>44255</v>
      </c>
      <c r="F11" s="56">
        <v>36257</v>
      </c>
      <c r="G11" s="57">
        <f t="shared" ca="1" si="0"/>
        <v>26</v>
      </c>
      <c r="H11" s="57">
        <f t="shared" si="1"/>
        <v>7998</v>
      </c>
      <c r="I11" s="7"/>
      <c r="J11" s="7" t="s">
        <v>115</v>
      </c>
      <c r="K11" s="7">
        <f>INDEX(A2:F21,MATCH(J11,B2:B21,0),MATCH("Salary",A1:F1,0))</f>
        <v>35960</v>
      </c>
      <c r="L11" s="7"/>
      <c r="M11" s="7"/>
      <c r="N11" s="7"/>
      <c r="O11" s="7"/>
      <c r="P11" s="7"/>
      <c r="Q11" s="7"/>
      <c r="R11" s="7"/>
      <c r="S11" s="7"/>
      <c r="T11" s="7"/>
      <c r="U11" s="7"/>
      <c r="V11" s="7"/>
      <c r="W11" s="7"/>
      <c r="X11" s="7"/>
      <c r="Y11" s="7"/>
    </row>
    <row r="12" spans="1:25" ht="14.4" x14ac:dyDescent="0.3">
      <c r="A12" s="8">
        <v>3011</v>
      </c>
      <c r="B12" s="8" t="s">
        <v>120</v>
      </c>
      <c r="C12" s="8" t="s">
        <v>107</v>
      </c>
      <c r="D12" s="8">
        <v>107634</v>
      </c>
      <c r="E12" s="55">
        <v>44505</v>
      </c>
      <c r="F12" s="56">
        <v>36287</v>
      </c>
      <c r="G12" s="57">
        <f t="shared" ca="1" si="0"/>
        <v>26</v>
      </c>
      <c r="H12" s="57">
        <f t="shared" si="1"/>
        <v>8218</v>
      </c>
      <c r="I12" s="7"/>
      <c r="J12" s="7"/>
      <c r="K12" s="7"/>
      <c r="L12" s="7"/>
      <c r="M12" s="7"/>
      <c r="N12" s="20" t="s">
        <v>174</v>
      </c>
      <c r="O12" s="7"/>
      <c r="P12" s="7"/>
      <c r="Q12" s="7"/>
      <c r="R12" s="7"/>
      <c r="S12" s="7"/>
      <c r="T12" s="7"/>
      <c r="U12" s="7"/>
      <c r="V12" s="7"/>
      <c r="W12" s="7"/>
      <c r="X12" s="7"/>
      <c r="Y12" s="7"/>
    </row>
    <row r="13" spans="1:25" ht="14.4" x14ac:dyDescent="0.3">
      <c r="A13" s="8">
        <v>3012</v>
      </c>
      <c r="B13" s="8" t="s">
        <v>121</v>
      </c>
      <c r="C13" s="8" t="s">
        <v>107</v>
      </c>
      <c r="D13" s="8">
        <v>35226</v>
      </c>
      <c r="E13" s="55">
        <v>44755</v>
      </c>
      <c r="F13" s="56">
        <v>36318</v>
      </c>
      <c r="G13" s="57">
        <f t="shared" ca="1" si="0"/>
        <v>26</v>
      </c>
      <c r="H13" s="57">
        <f t="shared" si="1"/>
        <v>8437</v>
      </c>
      <c r="I13" s="7"/>
      <c r="J13" s="50" t="s">
        <v>171</v>
      </c>
      <c r="K13" s="51"/>
      <c r="L13" s="51"/>
      <c r="M13" s="51"/>
      <c r="N13" s="51"/>
      <c r="O13" s="7" t="str" cm="1">
        <f t="array" aca="1" ref="O13" ca="1">INDIRECT(N12,1)</f>
        <v>Finance</v>
      </c>
      <c r="P13" s="7"/>
      <c r="Q13" s="7"/>
      <c r="R13" s="7"/>
      <c r="S13" s="7"/>
      <c r="T13" s="7"/>
      <c r="U13" s="7"/>
      <c r="V13" s="7"/>
      <c r="W13" s="7"/>
      <c r="X13" s="7"/>
      <c r="Y13" s="7"/>
    </row>
    <row r="14" spans="1:25" ht="14.4" x14ac:dyDescent="0.3">
      <c r="A14" s="8">
        <v>3013</v>
      </c>
      <c r="B14" s="8" t="s">
        <v>122</v>
      </c>
      <c r="C14" s="8" t="s">
        <v>110</v>
      </c>
      <c r="D14" s="8">
        <v>40872</v>
      </c>
      <c r="E14" s="55">
        <v>45005</v>
      </c>
      <c r="F14" s="56">
        <v>36348</v>
      </c>
      <c r="G14" s="57">
        <f t="shared" ca="1" si="0"/>
        <v>26</v>
      </c>
      <c r="H14" s="57">
        <f t="shared" si="1"/>
        <v>8657</v>
      </c>
      <c r="I14" s="7"/>
      <c r="J14" s="51"/>
      <c r="K14" s="51"/>
      <c r="L14" s="51"/>
      <c r="M14" s="51"/>
      <c r="N14" s="51"/>
      <c r="O14" s="7"/>
      <c r="P14" s="7"/>
      <c r="Q14" s="7"/>
      <c r="R14" s="7"/>
      <c r="S14" s="7"/>
      <c r="T14" s="7"/>
      <c r="U14" s="7"/>
      <c r="V14" s="7"/>
      <c r="W14" s="7"/>
      <c r="X14" s="7"/>
      <c r="Y14" s="7"/>
    </row>
    <row r="15" spans="1:25" ht="14.4" x14ac:dyDescent="0.3">
      <c r="A15" s="8">
        <v>3014</v>
      </c>
      <c r="B15" s="8" t="s">
        <v>123</v>
      </c>
      <c r="C15" s="8" t="s">
        <v>110</v>
      </c>
      <c r="D15" s="8">
        <v>55378</v>
      </c>
      <c r="E15" s="55">
        <v>45255</v>
      </c>
      <c r="F15" s="56">
        <v>36379</v>
      </c>
      <c r="G15" s="57">
        <f t="shared" ca="1" si="0"/>
        <v>26</v>
      </c>
      <c r="H15" s="57">
        <f t="shared" si="1"/>
        <v>8876</v>
      </c>
      <c r="I15" s="7"/>
      <c r="J15" s="7"/>
      <c r="K15" s="20" t="s">
        <v>172</v>
      </c>
      <c r="L15" s="7" cm="1">
        <f t="array" aca="1" ref="L15" ca="1">INDIRECT(K15,1)</f>
        <v>3008</v>
      </c>
      <c r="M15" s="20" t="s">
        <v>173</v>
      </c>
      <c r="N15" s="7" t="str" cm="1">
        <f t="array" aca="1" ref="N15" ca="1">INDIRECT(M15,1)</f>
        <v>Department</v>
      </c>
      <c r="O15" s="7"/>
      <c r="P15" s="7"/>
      <c r="Q15" s="7"/>
      <c r="R15" s="7"/>
      <c r="S15" s="7"/>
      <c r="T15" s="7"/>
      <c r="U15" s="7"/>
      <c r="V15" s="7"/>
      <c r="W15" s="7"/>
      <c r="X15" s="7"/>
      <c r="Y15" s="7"/>
    </row>
    <row r="16" spans="1:25" ht="14.4" x14ac:dyDescent="0.3">
      <c r="A16" s="8">
        <v>3015</v>
      </c>
      <c r="B16" s="8" t="s">
        <v>124</v>
      </c>
      <c r="C16" s="8" t="s">
        <v>110</v>
      </c>
      <c r="D16" s="8">
        <v>63297</v>
      </c>
      <c r="E16" s="55">
        <v>45505</v>
      </c>
      <c r="F16" s="56">
        <v>36410</v>
      </c>
      <c r="G16" s="57">
        <f t="shared" ca="1" si="0"/>
        <v>26</v>
      </c>
      <c r="H16" s="57">
        <f t="shared" si="1"/>
        <v>9095</v>
      </c>
      <c r="I16" s="7"/>
      <c r="J16" s="7"/>
      <c r="K16" s="7"/>
      <c r="L16" s="7"/>
      <c r="M16" s="7"/>
      <c r="N16" s="7"/>
      <c r="O16" s="7"/>
      <c r="P16" s="7"/>
      <c r="Q16" s="7"/>
      <c r="R16" s="7"/>
      <c r="S16" s="7"/>
      <c r="T16" s="7"/>
      <c r="U16" s="7"/>
      <c r="V16" s="7"/>
      <c r="W16" s="7"/>
      <c r="X16" s="7"/>
      <c r="Y16" s="7"/>
    </row>
    <row r="17" spans="1:25" ht="14.4" x14ac:dyDescent="0.3">
      <c r="A17" s="8">
        <v>3016</v>
      </c>
      <c r="B17" s="8" t="s">
        <v>125</v>
      </c>
      <c r="C17" s="8" t="s">
        <v>107</v>
      </c>
      <c r="D17" s="8">
        <v>114173</v>
      </c>
      <c r="E17" s="55">
        <v>45755</v>
      </c>
      <c r="F17" s="56">
        <v>36440</v>
      </c>
      <c r="G17" s="57">
        <f t="shared" ca="1" si="0"/>
        <v>26</v>
      </c>
      <c r="H17" s="57">
        <f t="shared" si="1"/>
        <v>9315</v>
      </c>
      <c r="I17" s="7"/>
      <c r="J17" s="7"/>
      <c r="K17" s="7"/>
      <c r="L17" s="7"/>
      <c r="M17" s="7"/>
      <c r="N17" s="7"/>
      <c r="O17" s="7"/>
      <c r="P17" s="7"/>
      <c r="Q17" s="7"/>
      <c r="R17" s="7"/>
      <c r="S17" s="7"/>
      <c r="T17" s="7"/>
      <c r="U17" s="7"/>
      <c r="V17" s="7"/>
      <c r="W17" s="7"/>
      <c r="X17" s="7"/>
      <c r="Y17" s="7"/>
    </row>
    <row r="18" spans="1:25" ht="14.4" x14ac:dyDescent="0.3">
      <c r="A18" s="8">
        <v>3017</v>
      </c>
      <c r="B18" s="8" t="s">
        <v>126</v>
      </c>
      <c r="C18" s="8" t="s">
        <v>110</v>
      </c>
      <c r="D18" s="8">
        <v>86915</v>
      </c>
      <c r="E18" s="55">
        <v>46005</v>
      </c>
      <c r="F18" s="56">
        <v>36471</v>
      </c>
      <c r="G18" s="57">
        <f t="shared" ca="1" si="0"/>
        <v>26</v>
      </c>
      <c r="H18" s="57">
        <f t="shared" si="1"/>
        <v>9534</v>
      </c>
      <c r="I18" s="7"/>
      <c r="J18" s="7"/>
      <c r="K18" s="7"/>
      <c r="L18" s="7"/>
      <c r="M18" s="7"/>
      <c r="N18" s="7"/>
      <c r="O18" s="7"/>
      <c r="P18" s="7"/>
      <c r="Q18" s="7"/>
      <c r="R18" s="7"/>
      <c r="S18" s="7"/>
      <c r="T18" s="7"/>
      <c r="U18" s="7"/>
      <c r="V18" s="7"/>
      <c r="W18" s="7"/>
      <c r="X18" s="7"/>
      <c r="Y18" s="7"/>
    </row>
    <row r="19" spans="1:25" ht="14.4" x14ac:dyDescent="0.3">
      <c r="A19" s="8">
        <v>3018</v>
      </c>
      <c r="B19" s="8" t="s">
        <v>127</v>
      </c>
      <c r="C19" s="8" t="s">
        <v>113</v>
      </c>
      <c r="D19" s="8">
        <v>116284</v>
      </c>
      <c r="E19" s="55">
        <v>46255</v>
      </c>
      <c r="F19" s="56">
        <v>36501</v>
      </c>
      <c r="G19" s="57">
        <f t="shared" ca="1" si="0"/>
        <v>26</v>
      </c>
      <c r="H19" s="57">
        <f t="shared" si="1"/>
        <v>9754</v>
      </c>
      <c r="I19" s="7"/>
      <c r="J19" s="7"/>
      <c r="K19" s="7"/>
      <c r="L19" s="7"/>
      <c r="M19" s="7"/>
      <c r="N19" s="7"/>
      <c r="O19" s="7"/>
      <c r="P19" s="7"/>
      <c r="Q19" s="7"/>
      <c r="R19" s="7"/>
      <c r="S19" s="7"/>
      <c r="T19" s="7"/>
      <c r="U19" s="7"/>
      <c r="V19" s="7"/>
      <c r="W19" s="7"/>
      <c r="X19" s="7"/>
      <c r="Y19" s="7"/>
    </row>
    <row r="20" spans="1:25" ht="14.4" x14ac:dyDescent="0.3">
      <c r="A20" s="8">
        <v>3019</v>
      </c>
      <c r="B20" s="8" t="s">
        <v>128</v>
      </c>
      <c r="C20" s="8" t="s">
        <v>116</v>
      </c>
      <c r="D20" s="8">
        <v>116283</v>
      </c>
      <c r="E20" s="55">
        <v>46505</v>
      </c>
      <c r="F20" s="56">
        <v>36532</v>
      </c>
      <c r="G20" s="57">
        <f t="shared" ca="1" si="0"/>
        <v>25</v>
      </c>
      <c r="H20" s="57">
        <f t="shared" si="1"/>
        <v>9973</v>
      </c>
      <c r="I20" s="7"/>
      <c r="J20" s="7"/>
      <c r="K20" s="7"/>
      <c r="L20" s="7"/>
      <c r="M20" s="7"/>
      <c r="N20" s="7"/>
      <c r="O20" s="7"/>
      <c r="P20" s="7"/>
      <c r="Q20" s="7"/>
      <c r="R20" s="7"/>
      <c r="S20" s="7"/>
      <c r="T20" s="7"/>
      <c r="U20" s="7"/>
      <c r="V20" s="7"/>
      <c r="W20" s="7"/>
      <c r="X20" s="7"/>
      <c r="Y20" s="7"/>
    </row>
    <row r="21" spans="1:25" ht="15.75" customHeight="1" x14ac:dyDescent="0.3">
      <c r="A21" s="8">
        <v>3020</v>
      </c>
      <c r="B21" s="8" t="s">
        <v>129</v>
      </c>
      <c r="C21" s="8" t="s">
        <v>116</v>
      </c>
      <c r="D21" s="8">
        <v>99924</v>
      </c>
      <c r="E21" s="55">
        <v>46755</v>
      </c>
      <c r="F21" s="56">
        <v>36563</v>
      </c>
      <c r="G21" s="57">
        <f t="shared" ca="1" si="0"/>
        <v>25</v>
      </c>
      <c r="H21" s="57">
        <f t="shared" si="1"/>
        <v>10192</v>
      </c>
      <c r="I21" s="7"/>
      <c r="J21" s="7"/>
      <c r="K21" s="7"/>
      <c r="L21" s="7"/>
      <c r="M21" s="7"/>
      <c r="N21" s="7"/>
      <c r="O21" s="7"/>
      <c r="P21" s="7"/>
      <c r="Q21" s="7"/>
      <c r="R21" s="7"/>
      <c r="S21" s="7"/>
      <c r="T21" s="7"/>
      <c r="U21" s="7"/>
      <c r="V21" s="7"/>
      <c r="W21" s="7"/>
      <c r="X21" s="7"/>
      <c r="Y21" s="7"/>
    </row>
    <row r="22" spans="1:25" ht="15.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row>
    <row r="23" spans="1:25" ht="15.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row>
    <row r="24" spans="1:25" ht="15.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row>
    <row r="25" spans="1:25" ht="15.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row>
    <row r="26" spans="1:25" ht="15.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row>
    <row r="27" spans="1:25" ht="15.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row>
    <row r="28" spans="1:25" ht="15.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row>
    <row r="29" spans="1:25" ht="15.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row>
    <row r="30" spans="1:25" ht="15.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row>
    <row r="31" spans="1:25" ht="15.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row>
    <row r="32" spans="1:25" ht="15.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row>
    <row r="33" spans="1:25" ht="15.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row>
    <row r="34" spans="1:25" ht="15.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row>
    <row r="35" spans="1:25" ht="15.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row>
    <row r="36" spans="1:25" ht="15.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row>
    <row r="37" spans="1:25" ht="15.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row>
    <row r="38" spans="1:25" ht="15.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row>
    <row r="39" spans="1:25" ht="15.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row>
    <row r="40" spans="1:25" ht="15.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row>
    <row r="41" spans="1:25" ht="15.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row>
    <row r="42" spans="1:25" ht="15.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row>
    <row r="43" spans="1:25" ht="15.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row>
    <row r="44" spans="1:25" ht="15.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row>
    <row r="45" spans="1:25" ht="15.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row>
    <row r="46" spans="1:25" ht="15.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row>
    <row r="47" spans="1:25" ht="15.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row>
    <row r="48" spans="1:25" ht="15.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row>
    <row r="49" spans="1:25" ht="15.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row>
    <row r="50" spans="1:25" ht="15.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row>
    <row r="51" spans="1:25" ht="15.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row>
    <row r="52" spans="1:25" ht="15.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row>
    <row r="53" spans="1:25" ht="15.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row>
    <row r="54" spans="1:25" ht="15.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row>
    <row r="55" spans="1:25" ht="15.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row>
    <row r="56" spans="1:25" ht="15.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row>
    <row r="57" spans="1:25" ht="15.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row>
    <row r="58" spans="1:25" ht="15.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row>
    <row r="59" spans="1:25" ht="15.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row>
    <row r="60" spans="1:25" ht="15.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row>
    <row r="61" spans="1:25" ht="15.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row>
    <row r="62" spans="1:25" ht="15.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row>
    <row r="63" spans="1:25" ht="15.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row>
    <row r="64" spans="1:25" ht="15.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row>
    <row r="65" spans="1:25" ht="15.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row>
    <row r="66" spans="1:25" ht="15.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row>
    <row r="67" spans="1:25" ht="15.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row>
    <row r="68" spans="1:25" ht="15.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row>
    <row r="69" spans="1:25" ht="15.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row>
    <row r="70" spans="1:25" ht="15.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row>
    <row r="71" spans="1:25" ht="15.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row>
    <row r="72" spans="1:25" ht="15.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row>
    <row r="73" spans="1:25" ht="15.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row>
    <row r="74" spans="1:25" ht="15.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row>
    <row r="75" spans="1:25" ht="15.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row>
    <row r="76" spans="1:25" ht="15.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row>
    <row r="77" spans="1:25" ht="15.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row>
    <row r="78" spans="1:25" ht="15.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row>
    <row r="79" spans="1:25" ht="15.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row>
    <row r="80" spans="1:25" ht="15.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row>
    <row r="81" spans="1:25" ht="15.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row>
    <row r="82" spans="1:25" ht="15.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row>
    <row r="83" spans="1:25" ht="15.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row>
    <row r="84" spans="1:25" ht="15.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row>
    <row r="85" spans="1:25" ht="15.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row>
    <row r="86" spans="1:25" ht="15.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row>
    <row r="87" spans="1:25" ht="15.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row>
    <row r="88" spans="1:25" ht="15.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row>
    <row r="89" spans="1:25" ht="15.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row>
    <row r="90" spans="1:25" ht="15.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row>
    <row r="91" spans="1:25" ht="15.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row>
    <row r="92" spans="1:25" ht="15.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row>
    <row r="93" spans="1:25" ht="15.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row>
    <row r="94" spans="1:25" ht="15.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row>
    <row r="95" spans="1:25" ht="15.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row>
    <row r="96" spans="1:25" ht="15.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row>
    <row r="97" spans="1:25" ht="15.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row>
    <row r="98" spans="1:25" ht="15.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row>
    <row r="99" spans="1:25" ht="15.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row>
    <row r="100" spans="1:25" ht="15.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spans="1:25" ht="15.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spans="1:25" ht="15.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spans="1:25" ht="15.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spans="1:25" ht="15.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spans="1:25" ht="15.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spans="1:25" ht="15.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spans="1:25" ht="15.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spans="1:25" ht="15.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spans="1:25" ht="15.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spans="1:25" ht="15.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spans="1:25" ht="15.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spans="1:25" ht="15.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spans="1:25" ht="15.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spans="1:25" ht="15.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spans="1:25" ht="15.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spans="1:25" ht="15.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spans="1:25" ht="15.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spans="1:25" ht="15.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spans="1:25" ht="15.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ht="15.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spans="1:25" ht="15.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spans="1:25" ht="15.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spans="1:25" ht="15.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spans="1:25" ht="15.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spans="1:25" ht="15.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spans="1:25" ht="15.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15.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spans="1:25" ht="15.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spans="1:25" ht="15.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spans="1:25" ht="15.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spans="1:25" ht="15.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spans="1:25" ht="15.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spans="1:25" ht="15.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spans="1:25" ht="15.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spans="1:25" ht="15.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spans="1:25" ht="15.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spans="1:25" ht="15.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spans="1:25" ht="15.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spans="1:25" ht="15.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spans="1:25" ht="15.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spans="1:25" ht="15.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spans="1:25" ht="15.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spans="1:25" ht="15.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spans="1:25" ht="15.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spans="1:25" ht="15.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spans="1:25" ht="15.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spans="1:25" ht="15.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spans="1:25" ht="15.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spans="1:25" ht="15.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spans="1:25" ht="15.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spans="1:25" ht="15.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spans="1:25" ht="15.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spans="1:25" ht="15.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spans="1:25" ht="15.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spans="1:25" ht="15.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spans="1:25" ht="15.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spans="1:25" ht="15.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spans="1:25" ht="15.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spans="1:25" ht="15.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spans="1:25" ht="15.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spans="1:25" ht="15.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spans="1:25" ht="15.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spans="1:25" ht="15.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spans="1:25" ht="15.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spans="1:25" ht="15.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spans="1:25" ht="15.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spans="1:25" ht="15.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spans="1:25" ht="15.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spans="1:25" ht="15.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spans="1:25" ht="15.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spans="1:25" ht="15.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spans="1:25" ht="15.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spans="1:25" ht="15.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spans="1:25" ht="15.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spans="1:25" ht="15.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spans="1:25" ht="15.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spans="1:25" ht="15.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spans="1:25" ht="15.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spans="1:25" ht="15.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spans="1:25" ht="15.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spans="1:25" ht="15.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spans="1:25" ht="15.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spans="1:25" ht="15.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spans="1:25" ht="15.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spans="1:25" ht="15.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spans="1:25" ht="15.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spans="1:25" ht="15.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spans="1:25" ht="15.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spans="1:25" ht="15.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spans="1:25" ht="15.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spans="1:25" ht="15.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spans="1:25" ht="15.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spans="1:25" ht="15.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spans="1:25" ht="15.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spans="1:25" ht="15.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spans="1:25" ht="15.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spans="1:25" ht="15.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spans="1:25" ht="15.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spans="1:25" ht="15.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spans="1:25" ht="15.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spans="1:25" ht="15.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spans="1:25" ht="15.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spans="1:25" ht="15.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spans="1:25" ht="15.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spans="1:25" ht="15.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spans="1:25" ht="15.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spans="1:25" ht="15.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spans="1:25" ht="15.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spans="1:25" ht="15.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spans="1:25" ht="15.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spans="1:25" ht="15.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spans="1:25" ht="15.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spans="1:25" ht="15.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spans="1:25" ht="15.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spans="1:25" ht="15.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spans="1:25" ht="15.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spans="1:25" ht="15.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spans="1:25" ht="15.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spans="1:25" ht="15.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spans="1:25" ht="15.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spans="1:25" ht="15.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spans="1:25" ht="15.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spans="1:25" ht="15.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spans="1:25" ht="15.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spans="1:25" ht="15.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spans="1:25" ht="15.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spans="1:25" ht="15.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spans="1:25" ht="15.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spans="1:25" ht="15.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spans="1:25" ht="15.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spans="1:25" ht="15.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spans="1:25" ht="15.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spans="1:25" ht="15.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spans="1:25" ht="15.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spans="1:25" ht="15.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spans="1:25" ht="15.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spans="1:25" ht="15.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spans="1:25" ht="15.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spans="1:25" ht="15.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spans="1:25" ht="15.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spans="1:25" ht="15.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spans="1:25" ht="15.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spans="1:25" ht="15.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spans="1:25" ht="15.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spans="1:25" ht="15.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spans="1:25" ht="15.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spans="1:25" ht="15.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spans="1:25" ht="15.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spans="1:25" ht="15.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spans="1:25" ht="15.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spans="1:25" ht="15.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spans="1:25" ht="15.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spans="1:25" ht="15.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spans="1:25" ht="15.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spans="1:25" ht="15.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spans="1:25" ht="15.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spans="1:25" ht="15.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spans="1:25" ht="15.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spans="1:25" ht="15.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spans="1:25" ht="15.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spans="1:25" ht="15.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spans="1:25" ht="15.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spans="1:25" ht="15.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spans="1:25" ht="15.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spans="1:25" ht="15.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spans="1:25" ht="15.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spans="1:25" ht="15.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spans="1:25" ht="15.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spans="1:25" ht="15.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spans="1:25" ht="15.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spans="1:25" ht="15.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spans="1:25" ht="15.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spans="1:25" ht="15.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spans="1:25" ht="15.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spans="1:25" ht="15.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spans="1:25" ht="15.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spans="1:25" ht="15.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spans="1:25" ht="15.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spans="1:25" ht="15.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spans="1:25" ht="15.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spans="1:25" ht="15.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spans="1:25" ht="15.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spans="1:25" ht="15.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spans="1:25" ht="15.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spans="1:25" ht="15.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spans="1:25" ht="15.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spans="1:25" ht="15.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spans="1:25" ht="15.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spans="1:25" ht="15.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spans="1:25" ht="15.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spans="1:25" ht="15.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spans="1:25" ht="15.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spans="1:25" ht="15.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spans="1:25" ht="15.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spans="1:25" ht="15.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spans="1:25" ht="15.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spans="1:25" ht="15.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spans="1:25" ht="15.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spans="1:25" ht="15.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spans="1:25" ht="15.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spans="1:25" ht="15.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spans="1:25" ht="15.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spans="1:25" ht="15.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spans="1:25" ht="15.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spans="1:25" ht="15.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spans="1:25" ht="15.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15.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spans="1:25" ht="15.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spans="1:25" ht="15.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spans="1:25" ht="15.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ht="15.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spans="1:25" ht="15.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spans="1:25" ht="15.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spans="1:25" ht="15.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spans="1:25" ht="15.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spans="1:25" ht="15.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spans="1:25" ht="15.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spans="1:25" ht="15.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spans="1:25" ht="15.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spans="1:25" ht="15.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spans="1:25" ht="15.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spans="1:25" ht="15.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spans="1:25" ht="15.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spans="1:25" ht="15.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spans="1:25" ht="15.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spans="1:25" ht="15.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spans="1:25" ht="15.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spans="1:25" ht="15.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spans="1:25" ht="15.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spans="1:25" ht="15.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spans="1:25" ht="15.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spans="1:25" ht="15.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spans="1:25" ht="15.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spans="1:25" ht="15.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spans="1:25" ht="15.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spans="1:25" ht="15.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spans="1:25" ht="15.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spans="1:25" ht="15.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spans="1:25" ht="15.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spans="1:25" ht="15.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spans="1:25" ht="15.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spans="1:25" ht="15.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spans="1:25" ht="15.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spans="1:25" ht="15.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spans="1:25" ht="15.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spans="1:25" ht="15.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spans="1:25" ht="15.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spans="1:25" ht="15.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spans="1:25" ht="15.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spans="1:25" ht="15.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spans="1:25" ht="15.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spans="1:25" ht="15.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spans="1:25" ht="15.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spans="1:25" ht="15.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spans="1:25" ht="15.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spans="1:25" ht="15.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spans="1:25" ht="15.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spans="1:25" ht="15.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spans="1:25" ht="15.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spans="1:25" ht="15.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spans="1:25" ht="15.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spans="1:25" ht="15.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spans="1:25" ht="15.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spans="1:25" ht="15.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spans="1:25" ht="15.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spans="1:25" ht="15.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spans="1:25" ht="15.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spans="1:25" ht="15.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spans="1:25" ht="15.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spans="1:25" ht="15.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spans="1:25" ht="15.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spans="1:25" ht="15.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spans="1:25" ht="15.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spans="1:25" ht="15.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spans="1:25" ht="15.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spans="1:25" ht="15.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spans="1:25" ht="15.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spans="1:25" ht="15.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spans="1:25" ht="15.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spans="1:25" ht="15.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spans="1:25" ht="15.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spans="1:25" ht="15.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spans="1:25" ht="15.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spans="1:25" ht="15.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spans="1:25" ht="15.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spans="1:25" ht="15.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spans="1:25" ht="15.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spans="1:25" ht="15.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spans="1:25" ht="15.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spans="1:25" ht="15.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spans="1:25" ht="15.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spans="1:25" ht="15.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spans="1:25" ht="15.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spans="1:25" ht="15.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spans="1:25" ht="15.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spans="1:25" ht="15.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spans="1:25" ht="15.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spans="1:25" ht="15.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spans="1:25" ht="15.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spans="1:25" ht="15.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spans="1:25" ht="15.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spans="1:25" ht="15.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spans="1:25" ht="15.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spans="1:25" ht="15.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spans="1:25" ht="15.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spans="1:25" ht="15.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spans="1:25" ht="15.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spans="1:25" ht="15.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spans="1:25" ht="15.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spans="1:25" ht="15.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spans="1:25" ht="15.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spans="1:25" ht="15.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spans="1:25" ht="15.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spans="1:25" ht="15.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spans="1:25" ht="15.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spans="1:25" ht="15.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spans="1:25" ht="15.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spans="1:25" ht="15.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spans="1:25" ht="15.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spans="1:25" ht="15.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spans="1:25" ht="15.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spans="1:25" ht="15.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spans="1:25" ht="15.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spans="1:25" ht="15.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spans="1:25" ht="15.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spans="1:25" ht="15.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spans="1:25" ht="15.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spans="1:25" ht="15.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spans="1:25" ht="15.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spans="1:25" ht="15.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spans="1:25" ht="15.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spans="1:25" ht="15.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spans="1:25" ht="15.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spans="1:25" ht="15.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spans="1:25" ht="15.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spans="1:25" ht="15.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spans="1:25" ht="15.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spans="1:25" ht="15.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spans="1:25" ht="15.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spans="1:25" ht="15.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spans="1:25" ht="15.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spans="1:25" ht="15.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spans="1:25" ht="15.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spans="1:25" ht="15.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spans="1:25" ht="15.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spans="1:25" ht="15.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spans="1:25" ht="15.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spans="1:25" ht="15.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spans="1:25" ht="15.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spans="1:25" ht="15.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spans="1:25" ht="15.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spans="1:25" ht="15.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spans="1:25" ht="15.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spans="1:25" ht="15.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spans="1:25" ht="15.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spans="1:25" ht="15.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spans="1:25" ht="15.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spans="1:25" ht="15.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spans="1:25" ht="15.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spans="1:25" ht="15.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spans="1:25" ht="15.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spans="1:25" ht="15.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spans="1:25" ht="15.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spans="1:25" ht="15.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spans="1:25" ht="15.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spans="1:25" ht="15.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spans="1:25" ht="15.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spans="1:25" ht="15.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spans="1:25" ht="15.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spans="1:25" ht="15.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spans="1:25" ht="15.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spans="1:25" ht="15.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spans="1:25" ht="15.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spans="1:25" ht="15.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spans="1:25" ht="15.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spans="1:25" ht="15.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spans="1:25" ht="15.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spans="1:25" ht="15.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spans="1:25" ht="15.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spans="1:25" ht="15.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spans="1:25" ht="15.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spans="1:25" ht="15.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spans="1:25" ht="15.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spans="1:25" ht="15.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spans="1:25" ht="15.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spans="1:25" ht="15.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spans="1:25" ht="15.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spans="1:25" ht="15.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spans="1:25" ht="15.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spans="1:25" ht="15.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spans="1:25" ht="15.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spans="1:25" ht="15.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spans="1:25" ht="15.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spans="1:25" ht="15.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spans="1:25" ht="15.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spans="1:25" ht="15.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spans="1:25" ht="15.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spans="1:25" ht="15.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spans="1:25" ht="15.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spans="1:25" ht="15.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spans="1:25" ht="15.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spans="1:25" ht="15.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spans="1:25" ht="15.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spans="1:25" ht="15.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spans="1:25" ht="15.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spans="1:25" ht="15.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spans="1:25" ht="15.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spans="1:25" ht="15.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spans="1:25" ht="15.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spans="1:25" ht="15.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spans="1:25" ht="15.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spans="1:25" ht="15.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spans="1:25" ht="15.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spans="1:25" ht="15.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spans="1:25" ht="15.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spans="1:25" ht="15.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spans="1:25" ht="15.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spans="1:25" ht="15.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spans="1:25" ht="15.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spans="1:25" ht="15.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spans="1:25" ht="15.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spans="1:25" ht="15.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spans="1:25" ht="15.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spans="1:25" ht="15.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spans="1:25" ht="15.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spans="1:25" ht="15.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spans="1:25" ht="15.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spans="1:25" ht="15.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spans="1:25" ht="15.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spans="1:25" ht="15.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spans="1:25" ht="15.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spans="1:25" ht="15.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spans="1:25" ht="15.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spans="1:25" ht="15.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spans="1:25" ht="15.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spans="1:25" ht="15.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spans="1:25" ht="15.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spans="1:25" ht="15.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spans="1:25" ht="15.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spans="1:25" ht="15.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spans="1:25" ht="15.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spans="1:25" ht="15.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spans="1:25" ht="15.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spans="1:25" ht="15.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spans="1:25" ht="15.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spans="1:25" ht="15.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spans="1:25" ht="15.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spans="1:25" ht="15.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spans="1:25" ht="15.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spans="1:25" ht="15.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spans="1:25" ht="15.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spans="1:25" ht="15.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spans="1:25" ht="15.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spans="1:25" ht="15.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spans="1:25" ht="15.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ht="15.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spans="1:25" ht="15.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spans="1:25" ht="15.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spans="1:25" ht="15.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spans="1:25" ht="15.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spans="1:25" ht="15.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spans="1:25" ht="15.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spans="1:25" ht="15.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spans="1:25" ht="15.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spans="1:25" ht="15.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spans="1:25" ht="15.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spans="1:25" ht="15.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spans="1:25" ht="15.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spans="1:25" ht="15.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spans="1:25" ht="15.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spans="1:25" ht="15.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spans="1:25" ht="15.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spans="1:25" ht="15.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spans="1:25" ht="15.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spans="1:25" ht="15.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spans="1:25" ht="15.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spans="1:25" ht="15.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spans="1:25" ht="15.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ht="15.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spans="1:25" ht="15.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spans="1:25" ht="15.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spans="1:25" ht="15.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spans="1:25" ht="15.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spans="1:25" ht="15.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spans="1:25" ht="15.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spans="1:25" ht="15.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spans="1:25" ht="15.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spans="1:25" ht="15.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spans="1:25" ht="15.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spans="1:25" ht="15.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spans="1:25" ht="15.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spans="1:25" ht="15.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spans="1:25" ht="15.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spans="1:25" ht="15.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spans="1:25" ht="15.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spans="1:25" ht="15.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spans="1:25" ht="15.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spans="1:25" ht="15.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ht="15.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spans="1:25" ht="15.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spans="1:25" ht="15.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spans="1:25" ht="15.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ht="15.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ht="15.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ht="15.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ht="15.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ht="15.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ht="15.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ht="15.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ht="15.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ht="15.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ht="15.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ht="15.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ht="15.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ht="15.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ht="15.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ht="15.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ht="15.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ht="15.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ht="15.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ht="15.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ht="15.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ht="15.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ht="15.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ht="15.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ht="15.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ht="15.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ht="15.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ht="15.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ht="15.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ht="15.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ht="15.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ht="15.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ht="15.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ht="15.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ht="15.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ht="15.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ht="15.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ht="15.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ht="15.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ht="15.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ht="15.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ht="15.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ht="15.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ht="15.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ht="15.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ht="15.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ht="15.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ht="15.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ht="15.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ht="15.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ht="15.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ht="15.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ht="15.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ht="15.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ht="15.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ht="15.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ht="15.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ht="15.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ht="15.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ht="15.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ht="15.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ht="15.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ht="15.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ht="15.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ht="15.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ht="15.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ht="15.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ht="15.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ht="15.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ht="15.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ht="15.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ht="15.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ht="15.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ht="15.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ht="15.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ht="15.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ht="15.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ht="15.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ht="15.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ht="15.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ht="15.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ht="15.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ht="15.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ht="15.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ht="15.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ht="15.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ht="15.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ht="15.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ht="15.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ht="15.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ht="15.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ht="15.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ht="15.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ht="15.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ht="15.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ht="15.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ht="15.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ht="15.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ht="15.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ht="15.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ht="15.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ht="15.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ht="15.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ht="15.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ht="15.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ht="15.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ht="15.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ht="15.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ht="15.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ht="15.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ht="15.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ht="15.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ht="15.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ht="15.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ht="15.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ht="15.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ht="15.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ht="15.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ht="15.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ht="15.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ht="15.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ht="15.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ht="15.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ht="15.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ht="15.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ht="15.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ht="15.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ht="15.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ht="15.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ht="15.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ht="15.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ht="15.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ht="15.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ht="15.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ht="15.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ht="15.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ht="15.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ht="15.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ht="15.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ht="15.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ht="15.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ht="15.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ht="15.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ht="15.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ht="15.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ht="15.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ht="15.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ht="15.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ht="15.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ht="15.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ht="15.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ht="15.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ht="15.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ht="15.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ht="15.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ht="15.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ht="15.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ht="15.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ht="15.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ht="15.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ht="15.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ht="15.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ht="15.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ht="15.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ht="15.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ht="15.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ht="15.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ht="15.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ht="15.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ht="15.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ht="15.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ht="15.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ht="15.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ht="15.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ht="15.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ht="15.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ht="15.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ht="15.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ht="15.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ht="15.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ht="15.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ht="15.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ht="15.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ht="15.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ht="15.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ht="15.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ht="15.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ht="15.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ht="15.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ht="15.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ht="15.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ht="15.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ht="15.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ht="15.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ht="15.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ht="15.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ht="15.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ht="15.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ht="15.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ht="15.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ht="15.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ht="15.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ht="15.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ht="15.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ht="15.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ht="15.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ht="15.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ht="15.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ht="15.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ht="15.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ht="15.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ht="15.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ht="15.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ht="15.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ht="15.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ht="15.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ht="15.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ht="15.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ht="15.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ht="15.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ht="15.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ht="15.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ht="15.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ht="15.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ht="15.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ht="15.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ht="15.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ht="15.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ht="15.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ht="15.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ht="15.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ht="15.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ht="15.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ht="15.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ht="15.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ht="15.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ht="15.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ht="15.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ht="15.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ht="15.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ht="15.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ht="15.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ht="15.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ht="15.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ht="15.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ht="15.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ht="15.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ht="15.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ht="15.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ht="15.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ht="15.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ht="15.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ht="15.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ht="15.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ht="15.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ht="15.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ht="15.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ht="15.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ht="15.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ht="15.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ht="15.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ht="15.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ht="15.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ht="15.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ht="15.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ht="15.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ht="15.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ht="15.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ht="15.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ht="15.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ht="15.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ht="15.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ht="15.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ht="15.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ht="15.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ht="15.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ht="15.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ht="15.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ht="15.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ht="15.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ht="15.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ht="15.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ht="15.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ht="15.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ht="15.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ht="15.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ht="15.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ht="15.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ht="15.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ht="15.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ht="15.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ht="15.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ht="15.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ht="15.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ht="15.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ht="15.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ht="15.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ht="15.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ht="15.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ht="15.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ht="15.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ht="15.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ht="15.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ht="15.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ht="15.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ht="15.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ht="15.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ht="15.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ht="15.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ht="15.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ht="15.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ht="15.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ht="15.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ht="15.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ht="15.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ht="15.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ht="15.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ht="15.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ht="15.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ht="15.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ht="15.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ht="15.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ht="15.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ht="15.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ht="15.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ht="15.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ht="15.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ht="15.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ht="15.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ht="15.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ht="15.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ht="15.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ht="15.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ht="15.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ht="15.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ht="15.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ht="15.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ht="15.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ht="15.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ht="15.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ht="15.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ht="15.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ht="15.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ht="15.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ht="15.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ht="15.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ht="15.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ht="15.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ht="15.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ht="15.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ht="15.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ht="15.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ht="15.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ht="15.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ht="15.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ht="15.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ht="15.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ht="15.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ht="15.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ht="15.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ht="15.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ht="15.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ht="15.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ht="15.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ht="15.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ht="15.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ht="15.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ht="15.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ht="15.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ht="15.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ht="15.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ht="15.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ht="15.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ht="15.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ht="15.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ht="15.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ht="15.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ht="15.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ht="15.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ht="15.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ht="15.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ht="15.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ht="15.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ht="15.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ht="15.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ht="15.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ht="15.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ht="15.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ht="15.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ht="15.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ht="15.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ht="15.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ht="15.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ht="15.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ht="15.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ht="15.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ht="15.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ht="15.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spans="1:25" ht="15.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mergeCells count="4">
    <mergeCell ref="J1:M2"/>
    <mergeCell ref="J4:M5"/>
    <mergeCell ref="J8:M9"/>
    <mergeCell ref="J13:N14"/>
  </mergeCells>
  <dataValidations count="2">
    <dataValidation type="list" allowBlank="1" showInputMessage="1" showErrorMessage="1" sqref="N1" xr:uid="{BF85F7AF-C517-43D6-8C51-1572E30F91BB}">
      <formula1>$A$2:$A$21</formula1>
    </dataValidation>
    <dataValidation type="list" allowBlank="1" showInputMessage="1" showErrorMessage="1" sqref="J11" xr:uid="{CF52C74C-4291-404B-A262-0C6142C7959E}">
      <formula1>$B$2:$B$21</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kajalharijan07@outlook.com</cp:lastModifiedBy>
  <dcterms:created xsi:type="dcterms:W3CDTF">2026-01-05T07:51:31Z</dcterms:created>
  <dcterms:modified xsi:type="dcterms:W3CDTF">2026-01-05T07:57:50Z</dcterms:modified>
</cp:coreProperties>
</file>